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Diem" sheetId="1" state="visible" r:id="rId1"/>
    <sheet name="TongHop" sheetId="2" state="visible" r:id="rId2"/>
  </sheets>
  <definedNames>
    <definedName name="_xlnm._FilterDatabase" localSheetId="0" hidden="1">'ChamDiem'!$A$10:$Q$70</definedName>
    <definedName name="_xlnm._FilterDatabase" localSheetId="1" hidden="1">'TongHop'!$A$3:$M$23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1"/>
    </font>
    <font>
      <b val="1"/>
      <color rgb="00FFFFFF"/>
      <sz val="11"/>
    </font>
    <font>
      <color rgb="00000000"/>
      <sz val="11"/>
    </font>
    <font>
      <b val="1"/>
      <color rgb="00FFFFFF"/>
    </font>
    <font>
      <b val="1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10" customWidth="1" min="3" max="3"/>
    <col width="11" customWidth="1" min="4" max="4"/>
    <col width="11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20" customWidth="1" min="17" max="17"/>
  </cols>
  <sheetData>
    <row r="1" ht="24" customHeight="1">
      <c r="A1" s="1" t="inlineStr">
        <is>
          <t>BẢNG CHẤM ĐIỂM CẦU THỦ — CHIA 2 ĐỘI SÂN 7   (3 người chấm: Tuyên / Mạnh / Nam)</t>
        </is>
      </c>
    </row>
    <row r="2" ht="44" customHeight="1">
      <c r="A2" s="3" t="inlineStr">
        <is>
          <t>Mỗi cầu thủ có 3 dòng (Tuyên / Mạnh / Nam). Bấm ô → SỔ XUỐNG chọn. Vị trí / Chân / Mức độ chỉ điền 1 LẦN ở DÒNG ĐẦU (Tuyên). Chấm SO VỚI MẶT BẰNG CỦA HỘI; khâu nào không rõ để 5–6; TM = 0 nếu không bắt gôn.</t>
        </is>
      </c>
    </row>
    <row r="3" ht="18" customHeight="1">
      <c r="A3" s="5" t="inlineStr">
        <is>
          <t>Ý NGHĨA 9 TIÊU CHÍ</t>
        </is>
      </c>
    </row>
    <row r="4" ht="20" customHeight="1">
      <c r="A4" s="7" t="inlineStr">
        <is>
          <t>KT = Kỹ thuật   ·   CH = Chuyền   ·   DĐ = Dứt điểm   ·   PN = Phòng ngự   ·   TC = Tốc độ</t>
        </is>
      </c>
    </row>
    <row r="5" ht="20" customHeight="1">
      <c r="A5" s="7" t="inlineStr">
        <is>
          <t>TL = Thể lực (sức bền/mạnh)   ·   ĐN = Độ nhiệt (chịu chạy, máu lửa)   ·   TD = Tư duy   ·   TM = Thủ môn (0 nếu không bắt gôn)</t>
        </is>
      </c>
    </row>
    <row r="6" ht="18" customHeight="1">
      <c r="A6" s="9" t="inlineStr">
        <is>
          <t>THANG ĐIỂM (chấm so với mặt bằng của hội)</t>
        </is>
      </c>
    </row>
    <row r="7" ht="20" customHeight="1">
      <c r="A7" s="11" t="inlineStr">
        <is>
          <t>1–2 Rất yếu   ·   3–4 Dưới trung bình   ·   5–6 Trung bình (để mức này nếu không rõ)   ·   7–8 Khá tốt   ·   9–10 Xuất sắc</t>
        </is>
      </c>
    </row>
    <row r="8" ht="32" customHeight="1">
      <c r="A8" s="13" t="inlineStr">
        <is>
          <t>VỊ TRÍ (6 vai): GK Thủ môn · Thòng (trung vệ giữa) · HV Hậu vệ biên · TVtt Tiền vệ trung tâm · TV Tiền vệ cánh · TĐ Tiền đạo.   'Vị trí chính' = sở trường; 'Đá được thêm' = vai trò khác chơi được.</t>
        </is>
      </c>
    </row>
    <row r="9"/>
    <row r="10" ht="42" customHeight="1">
      <c r="A10" s="15" t="inlineStr">
        <is>
          <t>STT</t>
        </is>
      </c>
      <c r="B10" s="15" t="inlineStr">
        <is>
          <t>Tên cầu thủ</t>
        </is>
      </c>
      <c r="C10" s="15" t="inlineStr">
        <is>
          <t>Người chấm</t>
        </is>
      </c>
      <c r="D10" s="15" t="inlineStr">
        <is>
          <t>Vị trí chính</t>
        </is>
      </c>
      <c r="E10" s="15" t="inlineStr">
        <is>
          <t>Đá được
thêm</t>
        </is>
      </c>
      <c r="F10" s="15" t="inlineStr">
        <is>
          <t>Chân
thuận</t>
        </is>
      </c>
      <c r="G10" s="15" t="inlineStr">
        <is>
          <t>Mức độ
hay đi đá</t>
        </is>
      </c>
      <c r="H10" s="15" t="inlineStr">
        <is>
          <t>Kỹ thuật
(KT)</t>
        </is>
      </c>
      <c r="I10" s="15" t="inlineStr">
        <is>
          <t>Chuyền
(CH)</t>
        </is>
      </c>
      <c r="J10" s="15" t="inlineStr">
        <is>
          <t>Dứt điểm
(DĐ)</t>
        </is>
      </c>
      <c r="K10" s="15" t="inlineStr">
        <is>
          <t>Phòng ngự
(PN)</t>
        </is>
      </c>
      <c r="L10" s="15" t="inlineStr">
        <is>
          <t>Tốc độ
(TC)</t>
        </is>
      </c>
      <c r="M10" s="15" t="inlineStr">
        <is>
          <t>Thể lực
(TL)</t>
        </is>
      </c>
      <c r="N10" s="15" t="inlineStr">
        <is>
          <t>Độ nhiệt
(ĐN)</t>
        </is>
      </c>
      <c r="O10" s="15" t="inlineStr">
        <is>
          <t>Tư duy
(TD)</t>
        </is>
      </c>
      <c r="P10" s="15" t="inlineStr">
        <is>
          <t>Thủ môn
(TM·0-10)</t>
        </is>
      </c>
      <c r="Q10" s="15" t="inlineStr">
        <is>
          <t>Ghi chú</t>
        </is>
      </c>
    </row>
    <row r="11">
      <c r="A11" s="16" t="n">
        <v>1</v>
      </c>
      <c r="B11" s="17" t="inlineStr">
        <is>
          <t>Cris Dao</t>
        </is>
      </c>
      <c r="C11" s="16" t="inlineStr">
        <is>
          <t>Tuyên</t>
        </is>
      </c>
      <c r="D11" s="16" t="inlineStr">
        <is>
          <t>HV</t>
        </is>
      </c>
      <c r="E11" s="16" t="inlineStr">
        <is>
          <t>Thòng/TVtt/TV</t>
        </is>
      </c>
      <c r="F11" s="16" t="n"/>
      <c r="G11" s="16" t="n"/>
      <c r="H11" s="16" t="n">
        <v>6</v>
      </c>
      <c r="I11" s="16" t="n">
        <v>6</v>
      </c>
      <c r="J11" s="16" t="n">
        <v>5</v>
      </c>
      <c r="K11" s="16" t="n">
        <v>6</v>
      </c>
      <c r="L11" s="16" t="n">
        <v>8</v>
      </c>
      <c r="M11" s="16" t="n">
        <v>6</v>
      </c>
      <c r="N11" s="16" t="n">
        <v>3</v>
      </c>
      <c r="O11" s="16" t="n">
        <v>6</v>
      </c>
      <c r="P11" s="16" t="n">
        <v>0</v>
      </c>
      <c r="Q11" s="16" t="inlineStr">
        <is>
          <t>Tuyên: Trung bình, nhanh, lười</t>
        </is>
      </c>
    </row>
    <row r="12">
      <c r="A12" s="16" t="n"/>
      <c r="B12" s="18" t="n"/>
      <c r="C12" s="16" t="inlineStr">
        <is>
          <t>Mạnh</t>
        </is>
      </c>
      <c r="D12" s="19" t="n"/>
      <c r="E12" s="19" t="n"/>
      <c r="F12" s="19" t="n"/>
      <c r="G12" s="19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6" t="n"/>
      <c r="B13" s="18" t="n"/>
      <c r="C13" s="16" t="inlineStr">
        <is>
          <t>Nam</t>
        </is>
      </c>
      <c r="D13" s="19" t="n"/>
      <c r="E13" s="19" t="n"/>
      <c r="F13" s="19" t="n"/>
      <c r="G13" s="19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>
      <c r="A14" s="20" t="n">
        <v>2</v>
      </c>
      <c r="B14" s="21" t="inlineStr">
        <is>
          <t>Doan Ha</t>
        </is>
      </c>
      <c r="C14" s="20" t="inlineStr">
        <is>
          <t>Tuyên</t>
        </is>
      </c>
      <c r="D14" s="20" t="inlineStr">
        <is>
          <t>TĐ</t>
        </is>
      </c>
      <c r="E14" s="20" t="inlineStr"/>
      <c r="F14" s="20" t="n"/>
      <c r="G14" s="20" t="n"/>
      <c r="H14" s="20" t="n">
        <v>7</v>
      </c>
      <c r="I14" s="20" t="n">
        <v>5</v>
      </c>
      <c r="J14" s="20" t="n">
        <v>7</v>
      </c>
      <c r="K14" s="20" t="n">
        <v>4</v>
      </c>
      <c r="L14" s="20" t="n">
        <v>4</v>
      </c>
      <c r="M14" s="20" t="n">
        <v>7</v>
      </c>
      <c r="N14" s="20" t="n">
        <v>8</v>
      </c>
      <c r="O14" s="20" t="n">
        <v>6</v>
      </c>
      <c r="P14" s="20" t="n">
        <v>0</v>
      </c>
      <c r="Q14" s="20" t="inlineStr">
        <is>
          <t>Tuyên: Trung bình, chậm, chịu chạy</t>
        </is>
      </c>
    </row>
    <row r="15">
      <c r="A15" s="20" t="n"/>
      <c r="B15" s="22" t="n"/>
      <c r="C15" s="20" t="inlineStr">
        <is>
          <t>Mạnh</t>
        </is>
      </c>
      <c r="D15" s="19" t="n"/>
      <c r="E15" s="19" t="n"/>
      <c r="F15" s="19" t="n"/>
      <c r="G15" s="19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</row>
    <row r="16">
      <c r="A16" s="20" t="n"/>
      <c r="B16" s="22" t="n"/>
      <c r="C16" s="20" t="inlineStr">
        <is>
          <t>Nam</t>
        </is>
      </c>
      <c r="D16" s="19" t="n"/>
      <c r="E16" s="19" t="n"/>
      <c r="F16" s="19" t="n"/>
      <c r="G16" s="19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</row>
    <row r="17">
      <c r="A17" s="16" t="n">
        <v>3</v>
      </c>
      <c r="B17" s="17" t="inlineStr">
        <is>
          <t>Duy Hùng</t>
        </is>
      </c>
      <c r="C17" s="16" t="inlineStr">
        <is>
          <t>Tuyên</t>
        </is>
      </c>
      <c r="D17" s="16" t="inlineStr">
        <is>
          <t>Thòng</t>
        </is>
      </c>
      <c r="E17" s="16" t="inlineStr">
        <is>
          <t>HV/TVtt/TV</t>
        </is>
      </c>
      <c r="F17" s="16" t="n"/>
      <c r="G17" s="16" t="n"/>
      <c r="H17" s="16" t="n">
        <v>4</v>
      </c>
      <c r="I17" s="16" t="n">
        <v>5</v>
      </c>
      <c r="J17" s="16" t="n">
        <v>3</v>
      </c>
      <c r="K17" s="16" t="n">
        <v>5</v>
      </c>
      <c r="L17" s="16" t="n">
        <v>3</v>
      </c>
      <c r="M17" s="16" t="n">
        <v>5</v>
      </c>
      <c r="N17" s="16" t="n">
        <v>5</v>
      </c>
      <c r="O17" s="16" t="n">
        <v>5</v>
      </c>
      <c r="P17" s="16" t="n">
        <v>0</v>
      </c>
      <c r="Q17" s="16" t="inlineStr">
        <is>
          <t>Tuyên: Yếu, chậm</t>
        </is>
      </c>
    </row>
    <row r="18">
      <c r="A18" s="16" t="n"/>
      <c r="B18" s="18" t="n"/>
      <c r="C18" s="16" t="inlineStr">
        <is>
          <t>Mạnh</t>
        </is>
      </c>
      <c r="D18" s="19" t="n"/>
      <c r="E18" s="19" t="n"/>
      <c r="F18" s="19" t="n"/>
      <c r="G18" s="19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>
      <c r="A19" s="16" t="n"/>
      <c r="B19" s="18" t="n"/>
      <c r="C19" s="16" t="inlineStr">
        <is>
          <t>Nam</t>
        </is>
      </c>
      <c r="D19" s="19" t="n"/>
      <c r="E19" s="19" t="n"/>
      <c r="F19" s="19" t="n"/>
      <c r="G19" s="19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>
      <c r="A20" s="20" t="n">
        <v>4</v>
      </c>
      <c r="B20" s="21" t="inlineStr">
        <is>
          <t>Hoàng Duy</t>
        </is>
      </c>
      <c r="C20" s="20" t="inlineStr">
        <is>
          <t>Tuyên</t>
        </is>
      </c>
      <c r="D20" s="20" t="inlineStr">
        <is>
          <t>HV</t>
        </is>
      </c>
      <c r="E20" s="20" t="inlineStr">
        <is>
          <t>Thòng/TVtt/TV</t>
        </is>
      </c>
      <c r="F20" s="20" t="n"/>
      <c r="G20" s="20" t="n"/>
      <c r="H20" s="20" t="n">
        <v>7</v>
      </c>
      <c r="I20" s="20" t="n">
        <v>8</v>
      </c>
      <c r="J20" s="20" t="n">
        <v>6</v>
      </c>
      <c r="K20" s="20" t="n">
        <v>8</v>
      </c>
      <c r="L20" s="20" t="n">
        <v>8</v>
      </c>
      <c r="M20" s="20" t="n">
        <v>8</v>
      </c>
      <c r="N20" s="20" t="n">
        <v>8</v>
      </c>
      <c r="O20" s="20" t="n">
        <v>8</v>
      </c>
      <c r="P20" s="20" t="n">
        <v>0</v>
      </c>
      <c r="Q20" s="20" t="inlineStr">
        <is>
          <t>Tuyên: Khá, nhanh, chịu chạy</t>
        </is>
      </c>
    </row>
    <row r="21">
      <c r="A21" s="20" t="n"/>
      <c r="B21" s="22" t="n"/>
      <c r="C21" s="20" t="inlineStr">
        <is>
          <t>Mạnh</t>
        </is>
      </c>
      <c r="D21" s="19" t="n"/>
      <c r="E21" s="19" t="n"/>
      <c r="F21" s="19" t="n"/>
      <c r="G21" s="19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</row>
    <row r="22">
      <c r="A22" s="20" t="n"/>
      <c r="B22" s="22" t="n"/>
      <c r="C22" s="20" t="inlineStr">
        <is>
          <t>Nam</t>
        </is>
      </c>
      <c r="D22" s="19" t="n"/>
      <c r="E22" s="19" t="n"/>
      <c r="F22" s="19" t="n"/>
      <c r="G22" s="19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</row>
    <row r="23">
      <c r="A23" s="16" t="n">
        <v>5</v>
      </c>
      <c r="B23" s="17" t="inlineStr">
        <is>
          <t>Hoàng Thiên</t>
        </is>
      </c>
      <c r="C23" s="16" t="inlineStr">
        <is>
          <t>Tuyên</t>
        </is>
      </c>
      <c r="D23" s="16" t="inlineStr">
        <is>
          <t>TĐ</t>
        </is>
      </c>
      <c r="E23" s="16" t="inlineStr"/>
      <c r="F23" s="16" t="n"/>
      <c r="G23" s="16" t="n"/>
      <c r="H23" s="16" t="n">
        <v>10</v>
      </c>
      <c r="I23" s="16" t="n">
        <v>8</v>
      </c>
      <c r="J23" s="16" t="n">
        <v>10</v>
      </c>
      <c r="K23" s="16" t="n">
        <v>7</v>
      </c>
      <c r="L23" s="16" t="n">
        <v>9</v>
      </c>
      <c r="M23" s="16" t="n">
        <v>9</v>
      </c>
      <c r="N23" s="16" t="n">
        <v>9</v>
      </c>
      <c r="O23" s="16" t="n">
        <v>9</v>
      </c>
      <c r="P23" s="16" t="n">
        <v>8</v>
      </c>
      <c r="Q23" s="16" t="inlineStr">
        <is>
          <t>Tuyên: Ngôi sao, nhanh, chịu chạy</t>
        </is>
      </c>
    </row>
    <row r="24">
      <c r="A24" s="16" t="n"/>
      <c r="B24" s="18" t="n"/>
      <c r="C24" s="16" t="inlineStr">
        <is>
          <t>Mạnh</t>
        </is>
      </c>
      <c r="D24" s="19" t="n"/>
      <c r="E24" s="19" t="n"/>
      <c r="F24" s="19" t="n"/>
      <c r="G24" s="19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>
      <c r="A25" s="16" t="n"/>
      <c r="B25" s="18" t="n"/>
      <c r="C25" s="16" t="inlineStr">
        <is>
          <t>Nam</t>
        </is>
      </c>
      <c r="D25" s="19" t="n"/>
      <c r="E25" s="19" t="n"/>
      <c r="F25" s="19" t="n"/>
      <c r="G25" s="19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>
      <c r="A26" s="20" t="n">
        <v>6</v>
      </c>
      <c r="B26" s="21" t="inlineStr">
        <is>
          <t>Hưng</t>
        </is>
      </c>
      <c r="C26" s="20" t="inlineStr">
        <is>
          <t>Tuyên</t>
        </is>
      </c>
      <c r="D26" s="20" t="inlineStr">
        <is>
          <t>Thòng</t>
        </is>
      </c>
      <c r="E26" s="20" t="inlineStr">
        <is>
          <t>HV/TVtt/TV</t>
        </is>
      </c>
      <c r="F26" s="20" t="n"/>
      <c r="G26" s="20" t="n"/>
      <c r="H26" s="20" t="n">
        <v>7</v>
      </c>
      <c r="I26" s="20" t="n">
        <v>8</v>
      </c>
      <c r="J26" s="20" t="n">
        <v>6</v>
      </c>
      <c r="K26" s="20" t="n">
        <v>8</v>
      </c>
      <c r="L26" s="20" t="n">
        <v>4</v>
      </c>
      <c r="M26" s="20" t="n">
        <v>8</v>
      </c>
      <c r="N26" s="20" t="n">
        <v>8</v>
      </c>
      <c r="O26" s="20" t="n">
        <v>8</v>
      </c>
      <c r="P26" s="20" t="n">
        <v>0</v>
      </c>
      <c r="Q26" s="20" t="inlineStr">
        <is>
          <t>Tuyên: Khá, chậm, chịu chạy</t>
        </is>
      </c>
    </row>
    <row r="27">
      <c r="A27" s="20" t="n"/>
      <c r="B27" s="22" t="n"/>
      <c r="C27" s="20" t="inlineStr">
        <is>
          <t>Mạnh</t>
        </is>
      </c>
      <c r="D27" s="19" t="n"/>
      <c r="E27" s="19" t="n"/>
      <c r="F27" s="19" t="n"/>
      <c r="G27" s="19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</row>
    <row r="28">
      <c r="A28" s="20" t="n"/>
      <c r="B28" s="22" t="n"/>
      <c r="C28" s="20" t="inlineStr">
        <is>
          <t>Nam</t>
        </is>
      </c>
      <c r="D28" s="19" t="n"/>
      <c r="E28" s="19" t="n"/>
      <c r="F28" s="19" t="n"/>
      <c r="G28" s="19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</row>
    <row r="29">
      <c r="A29" s="16" t="n">
        <v>7</v>
      </c>
      <c r="B29" s="17" t="inlineStr">
        <is>
          <t>Huy Hoàng</t>
        </is>
      </c>
      <c r="C29" s="16" t="inlineStr">
        <is>
          <t>Tuyên</t>
        </is>
      </c>
      <c r="D29" s="16" t="inlineStr">
        <is>
          <t>TVtt</t>
        </is>
      </c>
      <c r="E29" s="16" t="inlineStr">
        <is>
          <t>Thòng/HV/TV/TĐ</t>
        </is>
      </c>
      <c r="F29" s="16" t="n"/>
      <c r="G29" s="16" t="n"/>
      <c r="H29" s="16" t="n">
        <v>9</v>
      </c>
      <c r="I29" s="16" t="n">
        <v>9</v>
      </c>
      <c r="J29" s="16" t="n">
        <v>8</v>
      </c>
      <c r="K29" s="16" t="n">
        <v>9</v>
      </c>
      <c r="L29" s="16" t="n">
        <v>9</v>
      </c>
      <c r="M29" s="16" t="n">
        <v>9</v>
      </c>
      <c r="N29" s="16" t="n">
        <v>9</v>
      </c>
      <c r="O29" s="16" t="n">
        <v>9</v>
      </c>
      <c r="P29" s="16" t="n">
        <v>0</v>
      </c>
      <c r="Q29" s="16" t="inlineStr">
        <is>
          <t>Tuyên: Ngôi sao, nhanh, chịu chạy</t>
        </is>
      </c>
    </row>
    <row r="30">
      <c r="A30" s="16" t="n"/>
      <c r="B30" s="18" t="n"/>
      <c r="C30" s="16" t="inlineStr">
        <is>
          <t>Mạnh</t>
        </is>
      </c>
      <c r="D30" s="19" t="n"/>
      <c r="E30" s="19" t="n"/>
      <c r="F30" s="19" t="n"/>
      <c r="G30" s="19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s="16" t="n"/>
      <c r="B31" s="18" t="n"/>
      <c r="C31" s="16" t="inlineStr">
        <is>
          <t>Nam</t>
        </is>
      </c>
      <c r="D31" s="19" t="n"/>
      <c r="E31" s="19" t="n"/>
      <c r="F31" s="19" t="n"/>
      <c r="G31" s="19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s="20" t="n">
        <v>8</v>
      </c>
      <c r="B32" s="21" t="inlineStr">
        <is>
          <t>Mạnh Khắc</t>
        </is>
      </c>
      <c r="C32" s="20" t="inlineStr">
        <is>
          <t>Tuyên</t>
        </is>
      </c>
      <c r="D32" s="20" t="inlineStr">
        <is>
          <t>Thòng</t>
        </is>
      </c>
      <c r="E32" s="20" t="inlineStr">
        <is>
          <t>HV/TVtt/TV/TĐ</t>
        </is>
      </c>
      <c r="F32" s="20" t="n"/>
      <c r="G32" s="20" t="n"/>
      <c r="H32" s="20" t="n">
        <v>6</v>
      </c>
      <c r="I32" s="20" t="n">
        <v>6</v>
      </c>
      <c r="J32" s="20" t="n">
        <v>5</v>
      </c>
      <c r="K32" s="20" t="n">
        <v>6</v>
      </c>
      <c r="L32" s="20" t="n">
        <v>4</v>
      </c>
      <c r="M32" s="20" t="n">
        <v>6</v>
      </c>
      <c r="N32" s="20" t="n">
        <v>3</v>
      </c>
      <c r="O32" s="20" t="n">
        <v>6</v>
      </c>
      <c r="P32" s="20" t="n">
        <v>0</v>
      </c>
      <c r="Q32" s="20" t="inlineStr">
        <is>
          <t>Tuyên: Trung bình, chậm, lười</t>
        </is>
      </c>
    </row>
    <row r="33">
      <c r="A33" s="20" t="n"/>
      <c r="B33" s="22" t="n"/>
      <c r="C33" s="20" t="inlineStr">
        <is>
          <t>Mạnh</t>
        </is>
      </c>
      <c r="D33" s="19" t="n"/>
      <c r="E33" s="19" t="n"/>
      <c r="F33" s="19" t="n"/>
      <c r="G33" s="19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</row>
    <row r="34">
      <c r="A34" s="20" t="n"/>
      <c r="B34" s="22" t="n"/>
      <c r="C34" s="20" t="inlineStr">
        <is>
          <t>Nam</t>
        </is>
      </c>
      <c r="D34" s="19" t="n"/>
      <c r="E34" s="19" t="n"/>
      <c r="F34" s="19" t="n"/>
      <c r="G34" s="19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</row>
    <row r="35">
      <c r="A35" s="16" t="n">
        <v>9</v>
      </c>
      <c r="B35" s="17" t="inlineStr">
        <is>
          <t>Mạnh Tiến</t>
        </is>
      </c>
      <c r="C35" s="16" t="inlineStr">
        <is>
          <t>Tuyên</t>
        </is>
      </c>
      <c r="D35" s="16" t="inlineStr">
        <is>
          <t>HV</t>
        </is>
      </c>
      <c r="E35" s="16" t="inlineStr">
        <is>
          <t>Thòng</t>
        </is>
      </c>
      <c r="F35" s="16" t="n"/>
      <c r="G35" s="16" t="n"/>
      <c r="H35" s="16" t="n">
        <v>5</v>
      </c>
      <c r="I35" s="16" t="n">
        <v>6</v>
      </c>
      <c r="J35" s="16" t="n">
        <v>4</v>
      </c>
      <c r="K35" s="16" t="n">
        <v>7</v>
      </c>
      <c r="L35" s="16" t="n">
        <v>8</v>
      </c>
      <c r="M35" s="16" t="n">
        <v>6</v>
      </c>
      <c r="N35" s="16" t="n">
        <v>8</v>
      </c>
      <c r="O35" s="16" t="n">
        <v>6</v>
      </c>
      <c r="P35" s="16" t="n">
        <v>5</v>
      </c>
      <c r="Q35" s="16" t="inlineStr">
        <is>
          <t>Tuyên: Trung bình, nhanh, chịu chạy</t>
        </is>
      </c>
    </row>
    <row r="36">
      <c r="A36" s="16" t="n"/>
      <c r="B36" s="18" t="n"/>
      <c r="C36" s="16" t="inlineStr">
        <is>
          <t>Mạnh</t>
        </is>
      </c>
      <c r="D36" s="19" t="n"/>
      <c r="E36" s="19" t="n"/>
      <c r="F36" s="19" t="n"/>
      <c r="G36" s="19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>
      <c r="A37" s="16" t="n"/>
      <c r="B37" s="18" t="n"/>
      <c r="C37" s="16" t="inlineStr">
        <is>
          <t>Nam</t>
        </is>
      </c>
      <c r="D37" s="19" t="n"/>
      <c r="E37" s="19" t="n"/>
      <c r="F37" s="19" t="n"/>
      <c r="G37" s="19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>
      <c r="A38" s="20" t="n">
        <v>10</v>
      </c>
      <c r="B38" s="21" t="inlineStr">
        <is>
          <t>Nam Khắc</t>
        </is>
      </c>
      <c r="C38" s="20" t="inlineStr">
        <is>
          <t>Tuyên</t>
        </is>
      </c>
      <c r="D38" s="20" t="inlineStr">
        <is>
          <t>HV</t>
        </is>
      </c>
      <c r="E38" s="20" t="inlineStr">
        <is>
          <t>Thòng</t>
        </is>
      </c>
      <c r="F38" s="20" t="n"/>
      <c r="G38" s="20" t="n"/>
      <c r="H38" s="20" t="n">
        <v>7</v>
      </c>
      <c r="I38" s="20" t="n">
        <v>7</v>
      </c>
      <c r="J38" s="20" t="n">
        <v>6</v>
      </c>
      <c r="K38" s="20" t="n">
        <v>9</v>
      </c>
      <c r="L38" s="20" t="n">
        <v>8</v>
      </c>
      <c r="M38" s="20" t="n">
        <v>8</v>
      </c>
      <c r="N38" s="20" t="n">
        <v>8</v>
      </c>
      <c r="O38" s="20" t="n">
        <v>8</v>
      </c>
      <c r="P38" s="20" t="n">
        <v>0</v>
      </c>
      <c r="Q38" s="20" t="inlineStr">
        <is>
          <t>Tuyên: Khá, nhanh, chịu chạy</t>
        </is>
      </c>
    </row>
    <row r="39">
      <c r="A39" s="20" t="n"/>
      <c r="B39" s="22" t="n"/>
      <c r="C39" s="20" t="inlineStr">
        <is>
          <t>Mạnh</t>
        </is>
      </c>
      <c r="D39" s="19" t="n"/>
      <c r="E39" s="19" t="n"/>
      <c r="F39" s="19" t="n"/>
      <c r="G39" s="19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</row>
    <row r="40">
      <c r="A40" s="20" t="n"/>
      <c r="B40" s="22" t="n"/>
      <c r="C40" s="20" t="inlineStr">
        <is>
          <t>Nam</t>
        </is>
      </c>
      <c r="D40" s="19" t="n"/>
      <c r="E40" s="19" t="n"/>
      <c r="F40" s="19" t="n"/>
      <c r="G40" s="19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</row>
    <row r="41">
      <c r="A41" s="16" t="n">
        <v>11</v>
      </c>
      <c r="B41" s="17" t="inlineStr">
        <is>
          <t>Nguyễn Danh Tuyên</t>
        </is>
      </c>
      <c r="C41" s="16" t="inlineStr">
        <is>
          <t>Tuyên</t>
        </is>
      </c>
      <c r="D41" s="16" t="inlineStr">
        <is>
          <t>HV</t>
        </is>
      </c>
      <c r="E41" s="16" t="inlineStr">
        <is>
          <t>Thòng/TVtt/TV</t>
        </is>
      </c>
      <c r="F41" s="16" t="n"/>
      <c r="G41" s="16" t="n"/>
      <c r="H41" s="16" t="n">
        <v>7</v>
      </c>
      <c r="I41" s="16" t="n">
        <v>8</v>
      </c>
      <c r="J41" s="16" t="n">
        <v>6</v>
      </c>
      <c r="K41" s="16" t="n">
        <v>8</v>
      </c>
      <c r="L41" s="16" t="n">
        <v>8</v>
      </c>
      <c r="M41" s="16" t="n">
        <v>8</v>
      </c>
      <c r="N41" s="16" t="n">
        <v>8</v>
      </c>
      <c r="O41" s="16" t="n">
        <v>8</v>
      </c>
      <c r="P41" s="16" t="n">
        <v>0</v>
      </c>
      <c r="Q41" s="16" t="inlineStr">
        <is>
          <t>Tuyên: Khá, nhanh, chịu chạy</t>
        </is>
      </c>
    </row>
    <row r="42">
      <c r="A42" s="16" t="n"/>
      <c r="B42" s="18" t="n"/>
      <c r="C42" s="16" t="inlineStr">
        <is>
          <t>Mạnh</t>
        </is>
      </c>
      <c r="D42" s="19" t="n"/>
      <c r="E42" s="19" t="n"/>
      <c r="F42" s="19" t="n"/>
      <c r="G42" s="19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>
      <c r="A43" s="16" t="n"/>
      <c r="B43" s="18" t="n"/>
      <c r="C43" s="16" t="inlineStr">
        <is>
          <t>Nam</t>
        </is>
      </c>
      <c r="D43" s="19" t="n"/>
      <c r="E43" s="19" t="n"/>
      <c r="F43" s="19" t="n"/>
      <c r="G43" s="19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>
      <c r="A44" s="20" t="n">
        <v>12</v>
      </c>
      <c r="B44" s="21" t="inlineStr">
        <is>
          <t>Nguyễn Khắc Trọng</t>
        </is>
      </c>
      <c r="C44" s="20" t="inlineStr">
        <is>
          <t>Tuyên</t>
        </is>
      </c>
      <c r="D44" s="20" t="inlineStr">
        <is>
          <t>Thòng</t>
        </is>
      </c>
      <c r="E44" s="20" t="inlineStr">
        <is>
          <t>HV</t>
        </is>
      </c>
      <c r="F44" s="20" t="n"/>
      <c r="G44" s="20" t="n"/>
      <c r="H44" s="20" t="n">
        <v>5</v>
      </c>
      <c r="I44" s="20" t="n">
        <v>6</v>
      </c>
      <c r="J44" s="20" t="n">
        <v>4</v>
      </c>
      <c r="K44" s="20" t="n">
        <v>7</v>
      </c>
      <c r="L44" s="20" t="n">
        <v>4</v>
      </c>
      <c r="M44" s="20" t="n">
        <v>6</v>
      </c>
      <c r="N44" s="20" t="n">
        <v>8</v>
      </c>
      <c r="O44" s="20" t="n">
        <v>6</v>
      </c>
      <c r="P44" s="20" t="n">
        <v>5</v>
      </c>
      <c r="Q44" s="20" t="inlineStr">
        <is>
          <t>Tuyên: Trung bình, chậm, chịu chạy</t>
        </is>
      </c>
    </row>
    <row r="45">
      <c r="A45" s="20" t="n"/>
      <c r="B45" s="22" t="n"/>
      <c r="C45" s="20" t="inlineStr">
        <is>
          <t>Mạnh</t>
        </is>
      </c>
      <c r="D45" s="19" t="n"/>
      <c r="E45" s="19" t="n"/>
      <c r="F45" s="19" t="n"/>
      <c r="G45" s="19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</row>
    <row r="46">
      <c r="A46" s="20" t="n"/>
      <c r="B46" s="22" t="n"/>
      <c r="C46" s="20" t="inlineStr">
        <is>
          <t>Nam</t>
        </is>
      </c>
      <c r="D46" s="19" t="n"/>
      <c r="E46" s="19" t="n"/>
      <c r="F46" s="19" t="n"/>
      <c r="G46" s="19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</row>
    <row r="47">
      <c r="A47" s="16" t="n">
        <v>13</v>
      </c>
      <c r="B47" s="17" t="inlineStr">
        <is>
          <t>Nguyen Quy Bong</t>
        </is>
      </c>
      <c r="C47" s="16" t="inlineStr">
        <is>
          <t>Tuyên</t>
        </is>
      </c>
      <c r="D47" s="16" t="inlineStr">
        <is>
          <t>TĐ</t>
        </is>
      </c>
      <c r="E47" s="16" t="inlineStr">
        <is>
          <t>TVtt/TV</t>
        </is>
      </c>
      <c r="F47" s="16" t="n"/>
      <c r="G47" s="16" t="n"/>
      <c r="H47" s="16" t="n">
        <v>9</v>
      </c>
      <c r="I47" s="16" t="n">
        <v>9</v>
      </c>
      <c r="J47" s="16" t="n">
        <v>9</v>
      </c>
      <c r="K47" s="16" t="n">
        <v>8</v>
      </c>
      <c r="L47" s="16" t="n">
        <v>9</v>
      </c>
      <c r="M47" s="16" t="n">
        <v>9</v>
      </c>
      <c r="N47" s="16" t="n">
        <v>9</v>
      </c>
      <c r="O47" s="16" t="n">
        <v>9</v>
      </c>
      <c r="P47" s="16" t="n">
        <v>0</v>
      </c>
      <c r="Q47" s="16" t="inlineStr">
        <is>
          <t>Tuyên: Ngôi sao, nhanh, chịu chạy</t>
        </is>
      </c>
    </row>
    <row r="48">
      <c r="A48" s="16" t="n"/>
      <c r="B48" s="18" t="n"/>
      <c r="C48" s="16" t="inlineStr">
        <is>
          <t>Mạnh</t>
        </is>
      </c>
      <c r="D48" s="19" t="n"/>
      <c r="E48" s="19" t="n"/>
      <c r="F48" s="19" t="n"/>
      <c r="G48" s="19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>
      <c r="A49" s="16" t="n"/>
      <c r="B49" s="18" t="n"/>
      <c r="C49" s="16" t="inlineStr">
        <is>
          <t>Nam</t>
        </is>
      </c>
      <c r="D49" s="19" t="n"/>
      <c r="E49" s="19" t="n"/>
      <c r="F49" s="19" t="n"/>
      <c r="G49" s="19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>
      <c r="A50" s="20" t="n">
        <v>14</v>
      </c>
      <c r="B50" s="21" t="inlineStr">
        <is>
          <t>Nguyễn Văn Quyền</t>
        </is>
      </c>
      <c r="C50" s="20" t="inlineStr">
        <is>
          <t>Tuyên</t>
        </is>
      </c>
      <c r="D50" s="20" t="inlineStr">
        <is>
          <t>Thòng</t>
        </is>
      </c>
      <c r="E50" s="20" t="inlineStr">
        <is>
          <t>HV/TVtt/TV</t>
        </is>
      </c>
      <c r="F50" s="20" t="n"/>
      <c r="G50" s="20" t="n"/>
      <c r="H50" s="20" t="n">
        <v>4</v>
      </c>
      <c r="I50" s="20" t="n">
        <v>5</v>
      </c>
      <c r="J50" s="20" t="n">
        <v>3</v>
      </c>
      <c r="K50" s="20" t="n">
        <v>5</v>
      </c>
      <c r="L50" s="20" t="n">
        <v>3</v>
      </c>
      <c r="M50" s="20" t="n">
        <v>5</v>
      </c>
      <c r="N50" s="20" t="n">
        <v>3</v>
      </c>
      <c r="O50" s="20" t="n">
        <v>5</v>
      </c>
      <c r="P50" s="20" t="n">
        <v>0</v>
      </c>
      <c r="Q50" s="20" t="inlineStr">
        <is>
          <t>Tuyên: Yếu, chậm, lười</t>
        </is>
      </c>
    </row>
    <row r="51">
      <c r="A51" s="20" t="n"/>
      <c r="B51" s="22" t="n"/>
      <c r="C51" s="20" t="inlineStr">
        <is>
          <t>Mạnh</t>
        </is>
      </c>
      <c r="D51" s="19" t="n"/>
      <c r="E51" s="19" t="n"/>
      <c r="F51" s="19" t="n"/>
      <c r="G51" s="19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</row>
    <row r="52">
      <c r="A52" s="20" t="n"/>
      <c r="B52" s="22" t="n"/>
      <c r="C52" s="20" t="inlineStr">
        <is>
          <t>Nam</t>
        </is>
      </c>
      <c r="D52" s="19" t="n"/>
      <c r="E52" s="19" t="n"/>
      <c r="F52" s="19" t="n"/>
      <c r="G52" s="19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</row>
    <row r="53">
      <c r="A53" s="16" t="n">
        <v>15</v>
      </c>
      <c r="B53" s="17" t="inlineStr">
        <is>
          <t>Quang Minh</t>
        </is>
      </c>
      <c r="C53" s="16" t="inlineStr">
        <is>
          <t>Tuyên</t>
        </is>
      </c>
      <c r="D53" s="16" t="inlineStr">
        <is>
          <t>HV</t>
        </is>
      </c>
      <c r="E53" s="16" t="inlineStr">
        <is>
          <t>Thòng/TVtt/TV</t>
        </is>
      </c>
      <c r="F53" s="16" t="n"/>
      <c r="G53" s="16" t="n"/>
      <c r="H53" s="16" t="n">
        <v>6</v>
      </c>
      <c r="I53" s="16" t="n">
        <v>6</v>
      </c>
      <c r="J53" s="16" t="n">
        <v>5</v>
      </c>
      <c r="K53" s="16" t="n">
        <v>6</v>
      </c>
      <c r="L53" s="16" t="n">
        <v>8</v>
      </c>
      <c r="M53" s="16" t="n">
        <v>6</v>
      </c>
      <c r="N53" s="16" t="n">
        <v>8</v>
      </c>
      <c r="O53" s="16" t="n">
        <v>6</v>
      </c>
      <c r="P53" s="16" t="n">
        <v>5</v>
      </c>
      <c r="Q53" s="16" t="inlineStr">
        <is>
          <t>Tuyên: Trung bình, nhanh, chịu chạy</t>
        </is>
      </c>
    </row>
    <row r="54">
      <c r="A54" s="16" t="n"/>
      <c r="B54" s="18" t="n"/>
      <c r="C54" s="16" t="inlineStr">
        <is>
          <t>Mạnh</t>
        </is>
      </c>
      <c r="D54" s="19" t="n"/>
      <c r="E54" s="19" t="n"/>
      <c r="F54" s="19" t="n"/>
      <c r="G54" s="19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>
      <c r="A55" s="16" t="n"/>
      <c r="B55" s="18" t="n"/>
      <c r="C55" s="16" t="inlineStr">
        <is>
          <t>Nam</t>
        </is>
      </c>
      <c r="D55" s="19" t="n"/>
      <c r="E55" s="19" t="n"/>
      <c r="F55" s="19" t="n"/>
      <c r="G55" s="19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>
      <c r="A56" s="20" t="n">
        <v>16</v>
      </c>
      <c r="B56" s="21" t="inlineStr">
        <is>
          <t>Quý Tàu</t>
        </is>
      </c>
      <c r="C56" s="20" t="inlineStr">
        <is>
          <t>Tuyên</t>
        </is>
      </c>
      <c r="D56" s="20" t="inlineStr">
        <is>
          <t>Thòng</t>
        </is>
      </c>
      <c r="E56" s="20" t="inlineStr">
        <is>
          <t>HV/TVtt/TV</t>
        </is>
      </c>
      <c r="F56" s="20" t="n"/>
      <c r="G56" s="20" t="n"/>
      <c r="H56" s="20" t="n">
        <v>4</v>
      </c>
      <c r="I56" s="20" t="n">
        <v>5</v>
      </c>
      <c r="J56" s="20" t="n">
        <v>3</v>
      </c>
      <c r="K56" s="20" t="n">
        <v>5</v>
      </c>
      <c r="L56" s="20" t="n">
        <v>3</v>
      </c>
      <c r="M56" s="20" t="n">
        <v>5</v>
      </c>
      <c r="N56" s="20" t="n">
        <v>3</v>
      </c>
      <c r="O56" s="20" t="n">
        <v>5</v>
      </c>
      <c r="P56" s="20" t="n">
        <v>0</v>
      </c>
      <c r="Q56" s="20" t="inlineStr">
        <is>
          <t>Tuyên: Yếu, chậm, lười</t>
        </is>
      </c>
    </row>
    <row r="57">
      <c r="A57" s="20" t="n"/>
      <c r="B57" s="22" t="n"/>
      <c r="C57" s="20" t="inlineStr">
        <is>
          <t>Mạnh</t>
        </is>
      </c>
      <c r="D57" s="19" t="n"/>
      <c r="E57" s="19" t="n"/>
      <c r="F57" s="19" t="n"/>
      <c r="G57" s="19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</row>
    <row r="58">
      <c r="A58" s="20" t="n"/>
      <c r="B58" s="22" t="n"/>
      <c r="C58" s="20" t="inlineStr">
        <is>
          <t>Nam</t>
        </is>
      </c>
      <c r="D58" s="19" t="n"/>
      <c r="E58" s="19" t="n"/>
      <c r="F58" s="19" t="n"/>
      <c r="G58" s="19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</row>
    <row r="59">
      <c r="A59" s="16" t="n">
        <v>17</v>
      </c>
      <c r="B59" s="17" t="inlineStr">
        <is>
          <t>Quyết Nguyễn</t>
        </is>
      </c>
      <c r="C59" s="16" t="inlineStr">
        <is>
          <t>Tuyên</t>
        </is>
      </c>
      <c r="D59" s="16" t="inlineStr">
        <is>
          <t>HV</t>
        </is>
      </c>
      <c r="E59" s="16" t="inlineStr">
        <is>
          <t>Thòng/TVtt/TV/TĐ</t>
        </is>
      </c>
      <c r="F59" s="16" t="n"/>
      <c r="G59" s="16" t="n"/>
      <c r="H59" s="16" t="n">
        <v>7</v>
      </c>
      <c r="I59" s="16" t="n">
        <v>7</v>
      </c>
      <c r="J59" s="16" t="n">
        <v>7</v>
      </c>
      <c r="K59" s="16" t="n">
        <v>7</v>
      </c>
      <c r="L59" s="16" t="n">
        <v>8</v>
      </c>
      <c r="M59" s="16" t="n">
        <v>8</v>
      </c>
      <c r="N59" s="16" t="n">
        <v>8</v>
      </c>
      <c r="O59" s="16" t="n">
        <v>8</v>
      </c>
      <c r="P59" s="16" t="n">
        <v>0</v>
      </c>
      <c r="Q59" s="16" t="inlineStr">
        <is>
          <t>Tuyên: Khá, nhanh, chịu chạy</t>
        </is>
      </c>
    </row>
    <row r="60">
      <c r="A60" s="16" t="n"/>
      <c r="B60" s="18" t="n"/>
      <c r="C60" s="16" t="inlineStr">
        <is>
          <t>Mạnh</t>
        </is>
      </c>
      <c r="D60" s="19" t="n"/>
      <c r="E60" s="19" t="n"/>
      <c r="F60" s="19" t="n"/>
      <c r="G60" s="19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>
      <c r="A61" s="16" t="n"/>
      <c r="B61" s="18" t="n"/>
      <c r="C61" s="16" t="inlineStr">
        <is>
          <t>Nam</t>
        </is>
      </c>
      <c r="D61" s="19" t="n"/>
      <c r="E61" s="19" t="n"/>
      <c r="F61" s="19" t="n"/>
      <c r="G61" s="19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>
      <c r="A62" s="20" t="n">
        <v>18</v>
      </c>
      <c r="B62" s="21" t="inlineStr">
        <is>
          <t>Trịnh Mạnh</t>
        </is>
      </c>
      <c r="C62" s="20" t="inlineStr">
        <is>
          <t>Tuyên</t>
        </is>
      </c>
      <c r="D62" s="20" t="inlineStr">
        <is>
          <t>TVtt</t>
        </is>
      </c>
      <c r="E62" s="20" t="inlineStr">
        <is>
          <t>Thòng/HV/TV</t>
        </is>
      </c>
      <c r="F62" s="20" t="n"/>
      <c r="G62" s="20" t="n"/>
      <c r="H62" s="20" t="n">
        <v>6</v>
      </c>
      <c r="I62" s="20" t="n">
        <v>6</v>
      </c>
      <c r="J62" s="20" t="n">
        <v>5</v>
      </c>
      <c r="K62" s="20" t="n">
        <v>6</v>
      </c>
      <c r="L62" s="20" t="n">
        <v>4</v>
      </c>
      <c r="M62" s="20" t="n">
        <v>6</v>
      </c>
      <c r="N62" s="20" t="n">
        <v>8</v>
      </c>
      <c r="O62" s="20" t="n">
        <v>6</v>
      </c>
      <c r="P62" s="20" t="n">
        <v>0</v>
      </c>
      <c r="Q62" s="20" t="inlineStr">
        <is>
          <t>Tuyên: Trung bình, chậm, chịu chạy</t>
        </is>
      </c>
    </row>
    <row r="63">
      <c r="A63" s="20" t="n"/>
      <c r="B63" s="22" t="n"/>
      <c r="C63" s="20" t="inlineStr">
        <is>
          <t>Mạnh</t>
        </is>
      </c>
      <c r="D63" s="19" t="n"/>
      <c r="E63" s="19" t="n"/>
      <c r="F63" s="19" t="n"/>
      <c r="G63" s="19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</row>
    <row r="64">
      <c r="A64" s="20" t="n"/>
      <c r="B64" s="22" t="n"/>
      <c r="C64" s="20" t="inlineStr">
        <is>
          <t>Nam</t>
        </is>
      </c>
      <c r="D64" s="19" t="n"/>
      <c r="E64" s="19" t="n"/>
      <c r="F64" s="19" t="n"/>
      <c r="G64" s="19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</row>
    <row r="65">
      <c r="A65" s="16" t="n">
        <v>19</v>
      </c>
      <c r="B65" s="17" t="inlineStr">
        <is>
          <t>Trịnh Tuấn Anh</t>
        </is>
      </c>
      <c r="C65" s="16" t="inlineStr">
        <is>
          <t>Tuyên</t>
        </is>
      </c>
      <c r="D65" s="16" t="inlineStr">
        <is>
          <t>HV</t>
        </is>
      </c>
      <c r="E65" s="16" t="inlineStr">
        <is>
          <t>Thòng/TĐ</t>
        </is>
      </c>
      <c r="F65" s="16" t="n"/>
      <c r="G65" s="16" t="n"/>
      <c r="H65" s="16" t="n">
        <v>7</v>
      </c>
      <c r="I65" s="16" t="n">
        <v>7</v>
      </c>
      <c r="J65" s="16" t="n">
        <v>7</v>
      </c>
      <c r="K65" s="16" t="n">
        <v>7</v>
      </c>
      <c r="L65" s="16" t="n">
        <v>8</v>
      </c>
      <c r="M65" s="16" t="n">
        <v>8</v>
      </c>
      <c r="N65" s="16" t="n">
        <v>8</v>
      </c>
      <c r="O65" s="16" t="n">
        <v>7</v>
      </c>
      <c r="P65" s="16" t="n">
        <v>0</v>
      </c>
      <c r="Q65" s="16" t="inlineStr">
        <is>
          <t>Tuyên: Khá, nhanh, chịu chạy</t>
        </is>
      </c>
    </row>
    <row r="66">
      <c r="A66" s="16" t="n"/>
      <c r="B66" s="18" t="n"/>
      <c r="C66" s="16" t="inlineStr">
        <is>
          <t>Mạnh</t>
        </is>
      </c>
      <c r="D66" s="19" t="n"/>
      <c r="E66" s="19" t="n"/>
      <c r="F66" s="19" t="n"/>
      <c r="G66" s="19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>
      <c r="A67" s="16" t="n"/>
      <c r="B67" s="18" t="n"/>
      <c r="C67" s="16" t="inlineStr">
        <is>
          <t>Nam</t>
        </is>
      </c>
      <c r="D67" s="19" t="n"/>
      <c r="E67" s="19" t="n"/>
      <c r="F67" s="19" t="n"/>
      <c r="G67" s="19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>
      <c r="A68" s="20" t="n">
        <v>20</v>
      </c>
      <c r="B68" s="21" t="inlineStr">
        <is>
          <t>Văn Thanh</t>
        </is>
      </c>
      <c r="C68" s="20" t="inlineStr">
        <is>
          <t>Tuyên</t>
        </is>
      </c>
      <c r="D68" s="20" t="inlineStr">
        <is>
          <t>TĐ</t>
        </is>
      </c>
      <c r="E68" s="20" t="inlineStr">
        <is>
          <t>Thòng/HV</t>
        </is>
      </c>
      <c r="F68" s="20" t="n"/>
      <c r="G68" s="20" t="n"/>
      <c r="H68" s="20" t="n">
        <v>9</v>
      </c>
      <c r="I68" s="20" t="n">
        <v>8</v>
      </c>
      <c r="J68" s="20" t="n">
        <v>9</v>
      </c>
      <c r="K68" s="20" t="n">
        <v>9</v>
      </c>
      <c r="L68" s="20" t="n">
        <v>4</v>
      </c>
      <c r="M68" s="20" t="n">
        <v>9</v>
      </c>
      <c r="N68" s="20" t="n">
        <v>9</v>
      </c>
      <c r="O68" s="20" t="n">
        <v>9</v>
      </c>
      <c r="P68" s="20" t="n">
        <v>0</v>
      </c>
      <c r="Q68" s="20" t="inlineStr">
        <is>
          <t>Tuyên: Ngôi sao, chậm, chịu chạy</t>
        </is>
      </c>
    </row>
    <row r="69">
      <c r="A69" s="20" t="n"/>
      <c r="B69" s="22" t="n"/>
      <c r="C69" s="20" t="inlineStr">
        <is>
          <t>Mạnh</t>
        </is>
      </c>
      <c r="D69" s="19" t="n"/>
      <c r="E69" s="19" t="n"/>
      <c r="F69" s="19" t="n"/>
      <c r="G69" s="19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</row>
    <row r="70">
      <c r="A70" s="20" t="n"/>
      <c r="B70" s="22" t="n"/>
      <c r="C70" s="20" t="inlineStr">
        <is>
          <t>Nam</t>
        </is>
      </c>
      <c r="D70" s="19" t="n"/>
      <c r="E70" s="19" t="n"/>
      <c r="F70" s="19" t="n"/>
      <c r="G70" s="19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</row>
  </sheetData>
  <autoFilter ref="A10:Q70"/>
  <mergeCells count="8">
    <mergeCell ref="A8:Q8"/>
    <mergeCell ref="A6:Q6"/>
    <mergeCell ref="A3:Q3"/>
    <mergeCell ref="A4:Q4"/>
    <mergeCell ref="A7:Q7"/>
    <mergeCell ref="A2:Q2"/>
    <mergeCell ref="A1:Q1"/>
    <mergeCell ref="A5:Q5"/>
  </mergeCells>
  <dataValidations count="69">
    <dataValidation sqref="D11" showDropDown="0" showInputMessage="0" showErrorMessage="0" allowBlank="1" promptTitle="Chọn giá trị" prompt="Sổ xuống và chọn" type="list">
      <formula1>"GK,Thòng,HV,TVtt,TV,TĐ"</formula1>
    </dataValidation>
    <dataValidation sqref="F11" showDropDown="0" showInputMessage="0" showErrorMessage="0" allowBlank="1" promptTitle="Chọn giá trị" prompt="Sổ xuống và chọn" type="list">
      <formula1>"Trái,Phải,Cả hai"</formula1>
    </dataValidation>
    <dataValidation sqref="G11" showDropDown="0" showInputMessage="0" showErrorMessage="0" allowBlank="1" promptTitle="Chọn giá trị" prompt="Sổ xuống và chọn" type="list">
      <formula1>"Thường xuyên,Thỉnh thoảng,Hiếm khi"</formula1>
    </dataValidation>
    <dataValidation sqref="D14" showDropDown="0" showInputMessage="0" showErrorMessage="0" allowBlank="1" promptTitle="Chọn giá trị" prompt="Sổ xuống và chọn" type="list">
      <formula1>"GK,Thòng,HV,TVtt,TV,TĐ"</formula1>
    </dataValidation>
    <dataValidation sqref="F14" showDropDown="0" showInputMessage="0" showErrorMessage="0" allowBlank="1" promptTitle="Chọn giá trị" prompt="Sổ xuống và chọn" type="list">
      <formula1>"Trái,Phải,Cả hai"</formula1>
    </dataValidation>
    <dataValidation sqref="G14" showDropDown="0" showInputMessage="0" showErrorMessage="0" allowBlank="1" promptTitle="Chọn giá trị" prompt="Sổ xuống và chọn" type="list">
      <formula1>"Thường xuyên,Thỉnh thoảng,Hiếm khi"</formula1>
    </dataValidation>
    <dataValidation sqref="D17" showDropDown="0" showInputMessage="0" showErrorMessage="0" allowBlank="1" promptTitle="Chọn giá trị" prompt="Sổ xuống và chọn" type="list">
      <formula1>"GK,Thòng,HV,TVtt,TV,TĐ"</formula1>
    </dataValidation>
    <dataValidation sqref="F17" showDropDown="0" showInputMessage="0" showErrorMessage="0" allowBlank="1" promptTitle="Chọn giá trị" prompt="Sổ xuống và chọn" type="list">
      <formula1>"Trái,Phải,Cả hai"</formula1>
    </dataValidation>
    <dataValidation sqref="G17" showDropDown="0" showInputMessage="0" showErrorMessage="0" allowBlank="1" promptTitle="Chọn giá trị" prompt="Sổ xuống và chọn" type="list">
      <formula1>"Thường xuyên,Thỉnh thoảng,Hiếm khi"</formula1>
    </dataValidation>
    <dataValidation sqref="D20" showDropDown="0" showInputMessage="0" showErrorMessage="0" allowBlank="1" promptTitle="Chọn giá trị" prompt="Sổ xuống và chọn" type="list">
      <formula1>"GK,Thòng,HV,TVtt,TV,TĐ"</formula1>
    </dataValidation>
    <dataValidation sqref="F20" showDropDown="0" showInputMessage="0" showErrorMessage="0" allowBlank="1" promptTitle="Chọn giá trị" prompt="Sổ xuống và chọn" type="list">
      <formula1>"Trái,Phải,Cả hai"</formula1>
    </dataValidation>
    <dataValidation sqref="G20" showDropDown="0" showInputMessage="0" showErrorMessage="0" allowBlank="1" promptTitle="Chọn giá trị" prompt="Sổ xuống và chọn" type="list">
      <formula1>"Thường xuyên,Thỉnh thoảng,Hiếm khi"</formula1>
    </dataValidation>
    <dataValidation sqref="D23" showDropDown="0" showInputMessage="0" showErrorMessage="0" allowBlank="1" promptTitle="Chọn giá trị" prompt="Sổ xuống và chọn" type="list">
      <formula1>"GK,Thòng,HV,TVtt,TV,TĐ"</formula1>
    </dataValidation>
    <dataValidation sqref="F23" showDropDown="0" showInputMessage="0" showErrorMessage="0" allowBlank="1" promptTitle="Chọn giá trị" prompt="Sổ xuống và chọn" type="list">
      <formula1>"Trái,Phải,Cả hai"</formula1>
    </dataValidation>
    <dataValidation sqref="G23" showDropDown="0" showInputMessage="0" showErrorMessage="0" allowBlank="1" promptTitle="Chọn giá trị" prompt="Sổ xuống và chọn" type="list">
      <formula1>"Thường xuyên,Thỉnh thoảng,Hiếm khi"</formula1>
    </dataValidation>
    <dataValidation sqref="D26" showDropDown="0" showInputMessage="0" showErrorMessage="0" allowBlank="1" promptTitle="Chọn giá trị" prompt="Sổ xuống và chọn" type="list">
      <formula1>"GK,Thòng,HV,TVtt,TV,TĐ"</formula1>
    </dataValidation>
    <dataValidation sqref="F26" showDropDown="0" showInputMessage="0" showErrorMessage="0" allowBlank="1" promptTitle="Chọn giá trị" prompt="Sổ xuống và chọn" type="list">
      <formula1>"Trái,Phải,Cả hai"</formula1>
    </dataValidation>
    <dataValidation sqref="G26" showDropDown="0" showInputMessage="0" showErrorMessage="0" allowBlank="1" promptTitle="Chọn giá trị" prompt="Sổ xuống và chọn" type="list">
      <formula1>"Thường xuyên,Thỉnh thoảng,Hiếm khi"</formula1>
    </dataValidation>
    <dataValidation sqref="D29" showDropDown="0" showInputMessage="0" showErrorMessage="0" allowBlank="1" promptTitle="Chọn giá trị" prompt="Sổ xuống và chọn" type="list">
      <formula1>"GK,Thòng,HV,TVtt,TV,TĐ"</formula1>
    </dataValidation>
    <dataValidation sqref="F29" showDropDown="0" showInputMessage="0" showErrorMessage="0" allowBlank="1" promptTitle="Chọn giá trị" prompt="Sổ xuống và chọn" type="list">
      <formula1>"Trái,Phải,Cả hai"</formula1>
    </dataValidation>
    <dataValidation sqref="G29" showDropDown="0" showInputMessage="0" showErrorMessage="0" allowBlank="1" promptTitle="Chọn giá trị" prompt="Sổ xuống và chọn" type="list">
      <formula1>"Thường xuyên,Thỉnh thoảng,Hiếm khi"</formula1>
    </dataValidation>
    <dataValidation sqref="D32" showDropDown="0" showInputMessage="0" showErrorMessage="0" allowBlank="1" promptTitle="Chọn giá trị" prompt="Sổ xuống và chọn" type="list">
      <formula1>"GK,Thòng,HV,TVtt,TV,TĐ"</formula1>
    </dataValidation>
    <dataValidation sqref="F32" showDropDown="0" showInputMessage="0" showErrorMessage="0" allowBlank="1" promptTitle="Chọn giá trị" prompt="Sổ xuống và chọn" type="list">
      <formula1>"Trái,Phải,Cả hai"</formula1>
    </dataValidation>
    <dataValidation sqref="G32" showDropDown="0" showInputMessage="0" showErrorMessage="0" allowBlank="1" promptTitle="Chọn giá trị" prompt="Sổ xuống và chọn" type="list">
      <formula1>"Thường xuyên,Thỉnh thoảng,Hiếm khi"</formula1>
    </dataValidation>
    <dataValidation sqref="D35" showDropDown="0" showInputMessage="0" showErrorMessage="0" allowBlank="1" promptTitle="Chọn giá trị" prompt="Sổ xuống và chọn" type="list">
      <formula1>"GK,Thòng,HV,TVtt,TV,TĐ"</formula1>
    </dataValidation>
    <dataValidation sqref="F35" showDropDown="0" showInputMessage="0" showErrorMessage="0" allowBlank="1" promptTitle="Chọn giá trị" prompt="Sổ xuống và chọn" type="list">
      <formula1>"Trái,Phải,Cả hai"</formula1>
    </dataValidation>
    <dataValidation sqref="G35" showDropDown="0" showInputMessage="0" showErrorMessage="0" allowBlank="1" promptTitle="Chọn giá trị" prompt="Sổ xuống và chọn" type="list">
      <formula1>"Thường xuyên,Thỉnh thoảng,Hiếm khi"</formula1>
    </dataValidation>
    <dataValidation sqref="D38" showDropDown="0" showInputMessage="0" showErrorMessage="0" allowBlank="1" promptTitle="Chọn giá trị" prompt="Sổ xuống và chọn" type="list">
      <formula1>"GK,Thòng,HV,TVtt,TV,TĐ"</formula1>
    </dataValidation>
    <dataValidation sqref="F38" showDropDown="0" showInputMessage="0" showErrorMessage="0" allowBlank="1" promptTitle="Chọn giá trị" prompt="Sổ xuống và chọn" type="list">
      <formula1>"Trái,Phải,Cả hai"</formula1>
    </dataValidation>
    <dataValidation sqref="G38" showDropDown="0" showInputMessage="0" showErrorMessage="0" allowBlank="1" promptTitle="Chọn giá trị" prompt="Sổ xuống và chọn" type="list">
      <formula1>"Thường xuyên,Thỉnh thoảng,Hiếm khi"</formula1>
    </dataValidation>
    <dataValidation sqref="D41" showDropDown="0" showInputMessage="0" showErrorMessage="0" allowBlank="1" promptTitle="Chọn giá trị" prompt="Sổ xuống và chọn" type="list">
      <formula1>"GK,Thòng,HV,TVtt,TV,TĐ"</formula1>
    </dataValidation>
    <dataValidation sqref="F41" showDropDown="0" showInputMessage="0" showErrorMessage="0" allowBlank="1" promptTitle="Chọn giá trị" prompt="Sổ xuống và chọn" type="list">
      <formula1>"Trái,Phải,Cả hai"</formula1>
    </dataValidation>
    <dataValidation sqref="G41" showDropDown="0" showInputMessage="0" showErrorMessage="0" allowBlank="1" promptTitle="Chọn giá trị" prompt="Sổ xuống và chọn" type="list">
      <formula1>"Thường xuyên,Thỉnh thoảng,Hiếm khi"</formula1>
    </dataValidation>
    <dataValidation sqref="D44" showDropDown="0" showInputMessage="0" showErrorMessage="0" allowBlank="1" promptTitle="Chọn giá trị" prompt="Sổ xuống và chọn" type="list">
      <formula1>"GK,Thòng,HV,TVtt,TV,TĐ"</formula1>
    </dataValidation>
    <dataValidation sqref="F44" showDropDown="0" showInputMessage="0" showErrorMessage="0" allowBlank="1" promptTitle="Chọn giá trị" prompt="Sổ xuống và chọn" type="list">
      <formula1>"Trái,Phải,Cả hai"</formula1>
    </dataValidation>
    <dataValidation sqref="G44" showDropDown="0" showInputMessage="0" showErrorMessage="0" allowBlank="1" promptTitle="Chọn giá trị" prompt="Sổ xuống và chọn" type="list">
      <formula1>"Thường xuyên,Thỉnh thoảng,Hiếm khi"</formula1>
    </dataValidation>
    <dataValidation sqref="D47" showDropDown="0" showInputMessage="0" showErrorMessage="0" allowBlank="1" promptTitle="Chọn giá trị" prompt="Sổ xuống và chọn" type="list">
      <formula1>"GK,Thòng,HV,TVtt,TV,TĐ"</formula1>
    </dataValidation>
    <dataValidation sqref="F47" showDropDown="0" showInputMessage="0" showErrorMessage="0" allowBlank="1" promptTitle="Chọn giá trị" prompt="Sổ xuống và chọn" type="list">
      <formula1>"Trái,Phải,Cả hai"</formula1>
    </dataValidation>
    <dataValidation sqref="G47" showDropDown="0" showInputMessage="0" showErrorMessage="0" allowBlank="1" promptTitle="Chọn giá trị" prompt="Sổ xuống và chọn" type="list">
      <formula1>"Thường xuyên,Thỉnh thoảng,Hiếm khi"</formula1>
    </dataValidation>
    <dataValidation sqref="D50" showDropDown="0" showInputMessage="0" showErrorMessage="0" allowBlank="1" promptTitle="Chọn giá trị" prompt="Sổ xuống và chọn" type="list">
      <formula1>"GK,Thòng,HV,TVtt,TV,TĐ"</formula1>
    </dataValidation>
    <dataValidation sqref="F50" showDropDown="0" showInputMessage="0" showErrorMessage="0" allowBlank="1" promptTitle="Chọn giá trị" prompt="Sổ xuống và chọn" type="list">
      <formula1>"Trái,Phải,Cả hai"</formula1>
    </dataValidation>
    <dataValidation sqref="G50" showDropDown="0" showInputMessage="0" showErrorMessage="0" allowBlank="1" promptTitle="Chọn giá trị" prompt="Sổ xuống và chọn" type="list">
      <formula1>"Thường xuyên,Thỉnh thoảng,Hiếm khi"</formula1>
    </dataValidation>
    <dataValidation sqref="D53" showDropDown="0" showInputMessage="0" showErrorMessage="0" allowBlank="1" promptTitle="Chọn giá trị" prompt="Sổ xuống và chọn" type="list">
      <formula1>"GK,Thòng,HV,TVtt,TV,TĐ"</formula1>
    </dataValidation>
    <dataValidation sqref="F53" showDropDown="0" showInputMessage="0" showErrorMessage="0" allowBlank="1" promptTitle="Chọn giá trị" prompt="Sổ xuống và chọn" type="list">
      <formula1>"Trái,Phải,Cả hai"</formula1>
    </dataValidation>
    <dataValidation sqref="G53" showDropDown="0" showInputMessage="0" showErrorMessage="0" allowBlank="1" promptTitle="Chọn giá trị" prompt="Sổ xuống và chọn" type="list">
      <formula1>"Thường xuyên,Thỉnh thoảng,Hiếm khi"</formula1>
    </dataValidation>
    <dataValidation sqref="D56" showDropDown="0" showInputMessage="0" showErrorMessage="0" allowBlank="1" promptTitle="Chọn giá trị" prompt="Sổ xuống và chọn" type="list">
      <formula1>"GK,Thòng,HV,TVtt,TV,TĐ"</formula1>
    </dataValidation>
    <dataValidation sqref="F56" showDropDown="0" showInputMessage="0" showErrorMessage="0" allowBlank="1" promptTitle="Chọn giá trị" prompt="Sổ xuống và chọn" type="list">
      <formula1>"Trái,Phải,Cả hai"</formula1>
    </dataValidation>
    <dataValidation sqref="G56" showDropDown="0" showInputMessage="0" showErrorMessage="0" allowBlank="1" promptTitle="Chọn giá trị" prompt="Sổ xuống và chọn" type="list">
      <formula1>"Thường xuyên,Thỉnh thoảng,Hiếm khi"</formula1>
    </dataValidation>
    <dataValidation sqref="D59" showDropDown="0" showInputMessage="0" showErrorMessage="0" allowBlank="1" promptTitle="Chọn giá trị" prompt="Sổ xuống và chọn" type="list">
      <formula1>"GK,Thòng,HV,TVtt,TV,TĐ"</formula1>
    </dataValidation>
    <dataValidation sqref="F59" showDropDown="0" showInputMessage="0" showErrorMessage="0" allowBlank="1" promptTitle="Chọn giá trị" prompt="Sổ xuống và chọn" type="list">
      <formula1>"Trái,Phải,Cả hai"</formula1>
    </dataValidation>
    <dataValidation sqref="G59" showDropDown="0" showInputMessage="0" showErrorMessage="0" allowBlank="1" promptTitle="Chọn giá trị" prompt="Sổ xuống và chọn" type="list">
      <formula1>"Thường xuyên,Thỉnh thoảng,Hiếm khi"</formula1>
    </dataValidation>
    <dataValidation sqref="D62" showDropDown="0" showInputMessage="0" showErrorMessage="0" allowBlank="1" promptTitle="Chọn giá trị" prompt="Sổ xuống và chọn" type="list">
      <formula1>"GK,Thòng,HV,TVtt,TV,TĐ"</formula1>
    </dataValidation>
    <dataValidation sqref="F62" showDropDown="0" showInputMessage="0" showErrorMessage="0" allowBlank="1" promptTitle="Chọn giá trị" prompt="Sổ xuống và chọn" type="list">
      <formula1>"Trái,Phải,Cả hai"</formula1>
    </dataValidation>
    <dataValidation sqref="G62" showDropDown="0" showInputMessage="0" showErrorMessage="0" allowBlank="1" promptTitle="Chọn giá trị" prompt="Sổ xuống và chọn" type="list">
      <formula1>"Thường xuyên,Thỉnh thoảng,Hiếm khi"</formula1>
    </dataValidation>
    <dataValidation sqref="D65" showDropDown="0" showInputMessage="0" showErrorMessage="0" allowBlank="1" promptTitle="Chọn giá trị" prompt="Sổ xuống và chọn" type="list">
      <formula1>"GK,Thòng,HV,TVtt,TV,TĐ"</formula1>
    </dataValidation>
    <dataValidation sqref="F65" showDropDown="0" showInputMessage="0" showErrorMessage="0" allowBlank="1" promptTitle="Chọn giá trị" prompt="Sổ xuống và chọn" type="list">
      <formula1>"Trái,Phải,Cả hai"</formula1>
    </dataValidation>
    <dataValidation sqref="G65" showDropDown="0" showInputMessage="0" showErrorMessage="0" allowBlank="1" promptTitle="Chọn giá trị" prompt="Sổ xuống và chọn" type="list">
      <formula1>"Thường xuyên,Thỉnh thoảng,Hiếm khi"</formula1>
    </dataValidation>
    <dataValidation sqref="D68" showDropDown="0" showInputMessage="0" showErrorMessage="0" allowBlank="1" promptTitle="Chọn giá trị" prompt="Sổ xuống và chọn" type="list">
      <formula1>"GK,Thòng,HV,TVtt,TV,TĐ"</formula1>
    </dataValidation>
    <dataValidation sqref="F68" showDropDown="0" showInputMessage="0" showErrorMessage="0" allowBlank="1" promptTitle="Chọn giá trị" prompt="Sổ xuống và chọn" type="list">
      <formula1>"Trái,Phải,Cả hai"</formula1>
    </dataValidation>
    <dataValidation sqref="G68" showDropDown="0" showInputMessage="0" showErrorMessage="0" allowBlank="1" promptTitle="Chọn giá trị" prompt="Sổ xuống và chọn" type="list">
      <formula1>"Thường xuyên,Thỉnh thoảng,Hiếm khi"</formula1>
    </dataValidation>
    <dataValidation sqref="H11:H70" showDropDown="0" showInputMessage="0" showErrorMessage="0" allowBlank="1" promptTitle="Chọn giá trị" prompt="Sổ xuống và chọn" type="list">
      <formula1>"1,2,3,4,5,6,7,8,9,10"</formula1>
    </dataValidation>
    <dataValidation sqref="I11:I70" showDropDown="0" showInputMessage="0" showErrorMessage="0" allowBlank="1" promptTitle="Chọn giá trị" prompt="Sổ xuống và chọn" type="list">
      <formula1>"1,2,3,4,5,6,7,8,9,10"</formula1>
    </dataValidation>
    <dataValidation sqref="J11:J70" showDropDown="0" showInputMessage="0" showErrorMessage="0" allowBlank="1" promptTitle="Chọn giá trị" prompt="Sổ xuống và chọn" type="list">
      <formula1>"1,2,3,4,5,6,7,8,9,10"</formula1>
    </dataValidation>
    <dataValidation sqref="K11:K70" showDropDown="0" showInputMessage="0" showErrorMessage="0" allowBlank="1" promptTitle="Chọn giá trị" prompt="Sổ xuống và chọn" type="list">
      <formula1>"1,2,3,4,5,6,7,8,9,10"</formula1>
    </dataValidation>
    <dataValidation sqref="L11:L70" showDropDown="0" showInputMessage="0" showErrorMessage="0" allowBlank="1" promptTitle="Chọn giá trị" prompt="Sổ xuống và chọn" type="list">
      <formula1>"1,2,3,4,5,6,7,8,9,10"</formula1>
    </dataValidation>
    <dataValidation sqref="M11:M70" showDropDown="0" showInputMessage="0" showErrorMessage="0" allowBlank="1" promptTitle="Chọn giá trị" prompt="Sổ xuống và chọn" type="list">
      <formula1>"1,2,3,4,5,6,7,8,9,10"</formula1>
    </dataValidation>
    <dataValidation sqref="N11:N70" showDropDown="0" showInputMessage="0" showErrorMessage="0" allowBlank="1" promptTitle="Chọn giá trị" prompt="Sổ xuống và chọn" type="list">
      <formula1>"1,2,3,4,5,6,7,8,9,10"</formula1>
    </dataValidation>
    <dataValidation sqref="O11:O70" showDropDown="0" showInputMessage="0" showErrorMessage="0" allowBlank="1" promptTitle="Chọn giá trị" prompt="Sổ xuống và chọn" type="list">
      <formula1>"1,2,3,4,5,6,7,8,9,10"</formula1>
    </dataValidation>
    <dataValidation sqref="P11:P70" showDropDown="0" showInputMessage="0" showErrorMessage="0" allowBlank="1" promptTitle="Chọn giá trị" prompt="Sổ xuống và chọn" type="list">
      <formula1>"0,1,2,3,4,5,6,7,8,9,10"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2" customWidth="1" min="13" max="13"/>
  </cols>
  <sheetData>
    <row r="1" ht="24" customHeight="1">
      <c r="A1" s="23" t="inlineStr">
        <is>
          <t>TỔNG HỢP — ĐIỂM TRUNG BÌNH 3 NGƯỜI CHẤM (Tuyên/Mạnh/Nam) — tự động từ tab 'ChamDiem'</t>
        </is>
      </c>
    </row>
    <row r="3" ht="30" customHeight="1">
      <c r="A3" s="24" t="inlineStr">
        <is>
          <t>STT</t>
        </is>
      </c>
      <c r="B3" s="24" t="inlineStr">
        <is>
          <t>Tên cầu thủ</t>
        </is>
      </c>
      <c r="C3" s="24" t="inlineStr">
        <is>
          <t>Vị trí
chính</t>
        </is>
      </c>
      <c r="D3" s="24" t="inlineStr">
        <is>
          <t>KT</t>
        </is>
      </c>
      <c r="E3" s="24" t="inlineStr">
        <is>
          <t>CH</t>
        </is>
      </c>
      <c r="F3" s="24" t="inlineStr">
        <is>
          <t>DĐ</t>
        </is>
      </c>
      <c r="G3" s="24" t="inlineStr">
        <is>
          <t>PN</t>
        </is>
      </c>
      <c r="H3" s="24" t="inlineStr">
        <is>
          <t>TC</t>
        </is>
      </c>
      <c r="I3" s="24" t="inlineStr">
        <is>
          <t>TL</t>
        </is>
      </c>
      <c r="J3" s="24" t="inlineStr">
        <is>
          <t>ĐN</t>
        </is>
      </c>
      <c r="K3" s="24" t="inlineStr">
        <is>
          <t>TD</t>
        </is>
      </c>
      <c r="L3" s="24" t="inlineStr">
        <is>
          <t>TM</t>
        </is>
      </c>
      <c r="M3" s="24" t="inlineStr">
        <is>
          <t>Overall
(TB 8 mục)</t>
        </is>
      </c>
    </row>
    <row r="4">
      <c r="A4" s="25" t="n">
        <v>1</v>
      </c>
      <c r="B4" s="26" t="inlineStr">
        <is>
          <t>Cris Dao</t>
        </is>
      </c>
      <c r="C4" s="25">
        <f>IF(ChamDiem!D11="","",ChamDiem!D11)</f>
        <v/>
      </c>
      <c r="D4" s="25">
        <f>IFERROR(ROUND(AVERAGE(ChamDiem!H11:H13),1),"")</f>
        <v/>
      </c>
      <c r="E4" s="25">
        <f>IFERROR(ROUND(AVERAGE(ChamDiem!I11:I13),1),"")</f>
        <v/>
      </c>
      <c r="F4" s="25">
        <f>IFERROR(ROUND(AVERAGE(ChamDiem!J11:J13),1),"")</f>
        <v/>
      </c>
      <c r="G4" s="25">
        <f>IFERROR(ROUND(AVERAGE(ChamDiem!K11:K13),1),"")</f>
        <v/>
      </c>
      <c r="H4" s="25">
        <f>IFERROR(ROUND(AVERAGE(ChamDiem!L11:L13),1),"")</f>
        <v/>
      </c>
      <c r="I4" s="25">
        <f>IFERROR(ROUND(AVERAGE(ChamDiem!M11:M13),1),"")</f>
        <v/>
      </c>
      <c r="J4" s="25">
        <f>IFERROR(ROUND(AVERAGE(ChamDiem!N11:N13),1),"")</f>
        <v/>
      </c>
      <c r="K4" s="25">
        <f>IFERROR(ROUND(AVERAGE(ChamDiem!O11:O13),1),"")</f>
        <v/>
      </c>
      <c r="L4" s="25">
        <f>IFERROR(ROUND(AVERAGE(ChamDiem!P11:P13),1),"")</f>
        <v/>
      </c>
      <c r="M4" s="27">
        <f>IFERROR(ROUND(AVERAGE(D4:K4),1),"")</f>
        <v/>
      </c>
    </row>
    <row r="5">
      <c r="A5" s="28" t="n">
        <v>2</v>
      </c>
      <c r="B5" s="29" t="inlineStr">
        <is>
          <t>Doan Ha</t>
        </is>
      </c>
      <c r="C5" s="28">
        <f>IF(ChamDiem!D14="","",ChamDiem!D14)</f>
        <v/>
      </c>
      <c r="D5" s="28">
        <f>IFERROR(ROUND(AVERAGE(ChamDiem!H14:H16),1),"")</f>
        <v/>
      </c>
      <c r="E5" s="28">
        <f>IFERROR(ROUND(AVERAGE(ChamDiem!I14:I16),1),"")</f>
        <v/>
      </c>
      <c r="F5" s="28">
        <f>IFERROR(ROUND(AVERAGE(ChamDiem!J14:J16),1),"")</f>
        <v/>
      </c>
      <c r="G5" s="28">
        <f>IFERROR(ROUND(AVERAGE(ChamDiem!K14:K16),1),"")</f>
        <v/>
      </c>
      <c r="H5" s="28">
        <f>IFERROR(ROUND(AVERAGE(ChamDiem!L14:L16),1),"")</f>
        <v/>
      </c>
      <c r="I5" s="28">
        <f>IFERROR(ROUND(AVERAGE(ChamDiem!M14:M16),1),"")</f>
        <v/>
      </c>
      <c r="J5" s="28">
        <f>IFERROR(ROUND(AVERAGE(ChamDiem!N14:N16),1),"")</f>
        <v/>
      </c>
      <c r="K5" s="28">
        <f>IFERROR(ROUND(AVERAGE(ChamDiem!O14:O16),1),"")</f>
        <v/>
      </c>
      <c r="L5" s="28">
        <f>IFERROR(ROUND(AVERAGE(ChamDiem!P14:P16),1),"")</f>
        <v/>
      </c>
      <c r="M5" s="30">
        <f>IFERROR(ROUND(AVERAGE(D5:K5),1),"")</f>
        <v/>
      </c>
    </row>
    <row r="6">
      <c r="A6" s="25" t="n">
        <v>3</v>
      </c>
      <c r="B6" s="26" t="inlineStr">
        <is>
          <t>Duy Hùng</t>
        </is>
      </c>
      <c r="C6" s="25">
        <f>IF(ChamDiem!D17="","",ChamDiem!D17)</f>
        <v/>
      </c>
      <c r="D6" s="25">
        <f>IFERROR(ROUND(AVERAGE(ChamDiem!H17:H19),1),"")</f>
        <v/>
      </c>
      <c r="E6" s="25">
        <f>IFERROR(ROUND(AVERAGE(ChamDiem!I17:I19),1),"")</f>
        <v/>
      </c>
      <c r="F6" s="25">
        <f>IFERROR(ROUND(AVERAGE(ChamDiem!J17:J19),1),"")</f>
        <v/>
      </c>
      <c r="G6" s="25">
        <f>IFERROR(ROUND(AVERAGE(ChamDiem!K17:K19),1),"")</f>
        <v/>
      </c>
      <c r="H6" s="25">
        <f>IFERROR(ROUND(AVERAGE(ChamDiem!L17:L19),1),"")</f>
        <v/>
      </c>
      <c r="I6" s="25">
        <f>IFERROR(ROUND(AVERAGE(ChamDiem!M17:M19),1),"")</f>
        <v/>
      </c>
      <c r="J6" s="25">
        <f>IFERROR(ROUND(AVERAGE(ChamDiem!N17:N19),1),"")</f>
        <v/>
      </c>
      <c r="K6" s="25">
        <f>IFERROR(ROUND(AVERAGE(ChamDiem!O17:O19),1),"")</f>
        <v/>
      </c>
      <c r="L6" s="25">
        <f>IFERROR(ROUND(AVERAGE(ChamDiem!P17:P19),1),"")</f>
        <v/>
      </c>
      <c r="M6" s="27">
        <f>IFERROR(ROUND(AVERAGE(D6:K6),1),"")</f>
        <v/>
      </c>
    </row>
    <row r="7">
      <c r="A7" s="28" t="n">
        <v>4</v>
      </c>
      <c r="B7" s="29" t="inlineStr">
        <is>
          <t>Hoàng Duy</t>
        </is>
      </c>
      <c r="C7" s="28">
        <f>IF(ChamDiem!D20="","",ChamDiem!D20)</f>
        <v/>
      </c>
      <c r="D7" s="28">
        <f>IFERROR(ROUND(AVERAGE(ChamDiem!H20:H22),1),"")</f>
        <v/>
      </c>
      <c r="E7" s="28">
        <f>IFERROR(ROUND(AVERAGE(ChamDiem!I20:I22),1),"")</f>
        <v/>
      </c>
      <c r="F7" s="28">
        <f>IFERROR(ROUND(AVERAGE(ChamDiem!J20:J22),1),"")</f>
        <v/>
      </c>
      <c r="G7" s="28">
        <f>IFERROR(ROUND(AVERAGE(ChamDiem!K20:K22),1),"")</f>
        <v/>
      </c>
      <c r="H7" s="28">
        <f>IFERROR(ROUND(AVERAGE(ChamDiem!L20:L22),1),"")</f>
        <v/>
      </c>
      <c r="I7" s="28">
        <f>IFERROR(ROUND(AVERAGE(ChamDiem!M20:M22),1),"")</f>
        <v/>
      </c>
      <c r="J7" s="28">
        <f>IFERROR(ROUND(AVERAGE(ChamDiem!N20:N22),1),"")</f>
        <v/>
      </c>
      <c r="K7" s="28">
        <f>IFERROR(ROUND(AVERAGE(ChamDiem!O20:O22),1),"")</f>
        <v/>
      </c>
      <c r="L7" s="28">
        <f>IFERROR(ROUND(AVERAGE(ChamDiem!P20:P22),1),"")</f>
        <v/>
      </c>
      <c r="M7" s="30">
        <f>IFERROR(ROUND(AVERAGE(D7:K7),1),"")</f>
        <v/>
      </c>
    </row>
    <row r="8">
      <c r="A8" s="25" t="n">
        <v>5</v>
      </c>
      <c r="B8" s="26" t="inlineStr">
        <is>
          <t>Hoàng Thiên</t>
        </is>
      </c>
      <c r="C8" s="25">
        <f>IF(ChamDiem!D23="","",ChamDiem!D23)</f>
        <v/>
      </c>
      <c r="D8" s="25">
        <f>IFERROR(ROUND(AVERAGE(ChamDiem!H23:H25),1),"")</f>
        <v/>
      </c>
      <c r="E8" s="25">
        <f>IFERROR(ROUND(AVERAGE(ChamDiem!I23:I25),1),"")</f>
        <v/>
      </c>
      <c r="F8" s="25">
        <f>IFERROR(ROUND(AVERAGE(ChamDiem!J23:J25),1),"")</f>
        <v/>
      </c>
      <c r="G8" s="25">
        <f>IFERROR(ROUND(AVERAGE(ChamDiem!K23:K25),1),"")</f>
        <v/>
      </c>
      <c r="H8" s="25">
        <f>IFERROR(ROUND(AVERAGE(ChamDiem!L23:L25),1),"")</f>
        <v/>
      </c>
      <c r="I8" s="25">
        <f>IFERROR(ROUND(AVERAGE(ChamDiem!M23:M25),1),"")</f>
        <v/>
      </c>
      <c r="J8" s="25">
        <f>IFERROR(ROUND(AVERAGE(ChamDiem!N23:N25),1),"")</f>
        <v/>
      </c>
      <c r="K8" s="25">
        <f>IFERROR(ROUND(AVERAGE(ChamDiem!O23:O25),1),"")</f>
        <v/>
      </c>
      <c r="L8" s="25">
        <f>IFERROR(ROUND(AVERAGE(ChamDiem!P23:P25),1),"")</f>
        <v/>
      </c>
      <c r="M8" s="27">
        <f>IFERROR(ROUND(AVERAGE(D8:K8),1),"")</f>
        <v/>
      </c>
    </row>
    <row r="9">
      <c r="A9" s="28" t="n">
        <v>6</v>
      </c>
      <c r="B9" s="29" t="inlineStr">
        <is>
          <t>Hưng</t>
        </is>
      </c>
      <c r="C9" s="28">
        <f>IF(ChamDiem!D26="","",ChamDiem!D26)</f>
        <v/>
      </c>
      <c r="D9" s="28">
        <f>IFERROR(ROUND(AVERAGE(ChamDiem!H26:H28),1),"")</f>
        <v/>
      </c>
      <c r="E9" s="28">
        <f>IFERROR(ROUND(AVERAGE(ChamDiem!I26:I28),1),"")</f>
        <v/>
      </c>
      <c r="F9" s="28">
        <f>IFERROR(ROUND(AVERAGE(ChamDiem!J26:J28),1),"")</f>
        <v/>
      </c>
      <c r="G9" s="28">
        <f>IFERROR(ROUND(AVERAGE(ChamDiem!K26:K28),1),"")</f>
        <v/>
      </c>
      <c r="H9" s="28">
        <f>IFERROR(ROUND(AVERAGE(ChamDiem!L26:L28),1),"")</f>
        <v/>
      </c>
      <c r="I9" s="28">
        <f>IFERROR(ROUND(AVERAGE(ChamDiem!M26:M28),1),"")</f>
        <v/>
      </c>
      <c r="J9" s="28">
        <f>IFERROR(ROUND(AVERAGE(ChamDiem!N26:N28),1),"")</f>
        <v/>
      </c>
      <c r="K9" s="28">
        <f>IFERROR(ROUND(AVERAGE(ChamDiem!O26:O28),1),"")</f>
        <v/>
      </c>
      <c r="L9" s="28">
        <f>IFERROR(ROUND(AVERAGE(ChamDiem!P26:P28),1),"")</f>
        <v/>
      </c>
      <c r="M9" s="30">
        <f>IFERROR(ROUND(AVERAGE(D9:K9),1),"")</f>
        <v/>
      </c>
    </row>
    <row r="10">
      <c r="A10" s="25" t="n">
        <v>7</v>
      </c>
      <c r="B10" s="26" t="inlineStr">
        <is>
          <t>Huy Hoàng</t>
        </is>
      </c>
      <c r="C10" s="25">
        <f>IF(ChamDiem!D29="","",ChamDiem!D29)</f>
        <v/>
      </c>
      <c r="D10" s="25">
        <f>IFERROR(ROUND(AVERAGE(ChamDiem!H29:H31),1),"")</f>
        <v/>
      </c>
      <c r="E10" s="25">
        <f>IFERROR(ROUND(AVERAGE(ChamDiem!I29:I31),1),"")</f>
        <v/>
      </c>
      <c r="F10" s="25">
        <f>IFERROR(ROUND(AVERAGE(ChamDiem!J29:J31),1),"")</f>
        <v/>
      </c>
      <c r="G10" s="25">
        <f>IFERROR(ROUND(AVERAGE(ChamDiem!K29:K31),1),"")</f>
        <v/>
      </c>
      <c r="H10" s="25">
        <f>IFERROR(ROUND(AVERAGE(ChamDiem!L29:L31),1),"")</f>
        <v/>
      </c>
      <c r="I10" s="25">
        <f>IFERROR(ROUND(AVERAGE(ChamDiem!M29:M31),1),"")</f>
        <v/>
      </c>
      <c r="J10" s="25">
        <f>IFERROR(ROUND(AVERAGE(ChamDiem!N29:N31),1),"")</f>
        <v/>
      </c>
      <c r="K10" s="25">
        <f>IFERROR(ROUND(AVERAGE(ChamDiem!O29:O31),1),"")</f>
        <v/>
      </c>
      <c r="L10" s="25">
        <f>IFERROR(ROUND(AVERAGE(ChamDiem!P29:P31),1),"")</f>
        <v/>
      </c>
      <c r="M10" s="27">
        <f>IFERROR(ROUND(AVERAGE(D10:K10),1),"")</f>
        <v/>
      </c>
    </row>
    <row r="11">
      <c r="A11" s="28" t="n">
        <v>8</v>
      </c>
      <c r="B11" s="29" t="inlineStr">
        <is>
          <t>Mạnh Khắc</t>
        </is>
      </c>
      <c r="C11" s="28">
        <f>IF(ChamDiem!D32="","",ChamDiem!D32)</f>
        <v/>
      </c>
      <c r="D11" s="28">
        <f>IFERROR(ROUND(AVERAGE(ChamDiem!H32:H34),1),"")</f>
        <v/>
      </c>
      <c r="E11" s="28">
        <f>IFERROR(ROUND(AVERAGE(ChamDiem!I32:I34),1),"")</f>
        <v/>
      </c>
      <c r="F11" s="28">
        <f>IFERROR(ROUND(AVERAGE(ChamDiem!J32:J34),1),"")</f>
        <v/>
      </c>
      <c r="G11" s="28">
        <f>IFERROR(ROUND(AVERAGE(ChamDiem!K32:K34),1),"")</f>
        <v/>
      </c>
      <c r="H11" s="28">
        <f>IFERROR(ROUND(AVERAGE(ChamDiem!L32:L34),1),"")</f>
        <v/>
      </c>
      <c r="I11" s="28">
        <f>IFERROR(ROUND(AVERAGE(ChamDiem!M32:M34),1),"")</f>
        <v/>
      </c>
      <c r="J11" s="28">
        <f>IFERROR(ROUND(AVERAGE(ChamDiem!N32:N34),1),"")</f>
        <v/>
      </c>
      <c r="K11" s="28">
        <f>IFERROR(ROUND(AVERAGE(ChamDiem!O32:O34),1),"")</f>
        <v/>
      </c>
      <c r="L11" s="28">
        <f>IFERROR(ROUND(AVERAGE(ChamDiem!P32:P34),1),"")</f>
        <v/>
      </c>
      <c r="M11" s="30">
        <f>IFERROR(ROUND(AVERAGE(D11:K11),1),"")</f>
        <v/>
      </c>
    </row>
    <row r="12">
      <c r="A12" s="25" t="n">
        <v>9</v>
      </c>
      <c r="B12" s="26" t="inlineStr">
        <is>
          <t>Mạnh Tiến</t>
        </is>
      </c>
      <c r="C12" s="25">
        <f>IF(ChamDiem!D35="","",ChamDiem!D35)</f>
        <v/>
      </c>
      <c r="D12" s="25">
        <f>IFERROR(ROUND(AVERAGE(ChamDiem!H35:H37),1),"")</f>
        <v/>
      </c>
      <c r="E12" s="25">
        <f>IFERROR(ROUND(AVERAGE(ChamDiem!I35:I37),1),"")</f>
        <v/>
      </c>
      <c r="F12" s="25">
        <f>IFERROR(ROUND(AVERAGE(ChamDiem!J35:J37),1),"")</f>
        <v/>
      </c>
      <c r="G12" s="25">
        <f>IFERROR(ROUND(AVERAGE(ChamDiem!K35:K37),1),"")</f>
        <v/>
      </c>
      <c r="H12" s="25">
        <f>IFERROR(ROUND(AVERAGE(ChamDiem!L35:L37),1),"")</f>
        <v/>
      </c>
      <c r="I12" s="25">
        <f>IFERROR(ROUND(AVERAGE(ChamDiem!M35:M37),1),"")</f>
        <v/>
      </c>
      <c r="J12" s="25">
        <f>IFERROR(ROUND(AVERAGE(ChamDiem!N35:N37),1),"")</f>
        <v/>
      </c>
      <c r="K12" s="25">
        <f>IFERROR(ROUND(AVERAGE(ChamDiem!O35:O37),1),"")</f>
        <v/>
      </c>
      <c r="L12" s="25">
        <f>IFERROR(ROUND(AVERAGE(ChamDiem!P35:P37),1),"")</f>
        <v/>
      </c>
      <c r="M12" s="27">
        <f>IFERROR(ROUND(AVERAGE(D12:K12),1),"")</f>
        <v/>
      </c>
    </row>
    <row r="13">
      <c r="A13" s="28" t="n">
        <v>10</v>
      </c>
      <c r="B13" s="29" t="inlineStr">
        <is>
          <t>Nam Khắc</t>
        </is>
      </c>
      <c r="C13" s="28">
        <f>IF(ChamDiem!D38="","",ChamDiem!D38)</f>
        <v/>
      </c>
      <c r="D13" s="28">
        <f>IFERROR(ROUND(AVERAGE(ChamDiem!H38:H40),1),"")</f>
        <v/>
      </c>
      <c r="E13" s="28">
        <f>IFERROR(ROUND(AVERAGE(ChamDiem!I38:I40),1),"")</f>
        <v/>
      </c>
      <c r="F13" s="28">
        <f>IFERROR(ROUND(AVERAGE(ChamDiem!J38:J40),1),"")</f>
        <v/>
      </c>
      <c r="G13" s="28">
        <f>IFERROR(ROUND(AVERAGE(ChamDiem!K38:K40),1),"")</f>
        <v/>
      </c>
      <c r="H13" s="28">
        <f>IFERROR(ROUND(AVERAGE(ChamDiem!L38:L40),1),"")</f>
        <v/>
      </c>
      <c r="I13" s="28">
        <f>IFERROR(ROUND(AVERAGE(ChamDiem!M38:M40),1),"")</f>
        <v/>
      </c>
      <c r="J13" s="28">
        <f>IFERROR(ROUND(AVERAGE(ChamDiem!N38:N40),1),"")</f>
        <v/>
      </c>
      <c r="K13" s="28">
        <f>IFERROR(ROUND(AVERAGE(ChamDiem!O38:O40),1),"")</f>
        <v/>
      </c>
      <c r="L13" s="28">
        <f>IFERROR(ROUND(AVERAGE(ChamDiem!P38:P40),1),"")</f>
        <v/>
      </c>
      <c r="M13" s="30">
        <f>IFERROR(ROUND(AVERAGE(D13:K13),1),"")</f>
        <v/>
      </c>
    </row>
    <row r="14">
      <c r="A14" s="25" t="n">
        <v>11</v>
      </c>
      <c r="B14" s="26" t="inlineStr">
        <is>
          <t>Nguyễn Danh Tuyên</t>
        </is>
      </c>
      <c r="C14" s="25">
        <f>IF(ChamDiem!D41="","",ChamDiem!D41)</f>
        <v/>
      </c>
      <c r="D14" s="25">
        <f>IFERROR(ROUND(AVERAGE(ChamDiem!H41:H43),1),"")</f>
        <v/>
      </c>
      <c r="E14" s="25">
        <f>IFERROR(ROUND(AVERAGE(ChamDiem!I41:I43),1),"")</f>
        <v/>
      </c>
      <c r="F14" s="25">
        <f>IFERROR(ROUND(AVERAGE(ChamDiem!J41:J43),1),"")</f>
        <v/>
      </c>
      <c r="G14" s="25">
        <f>IFERROR(ROUND(AVERAGE(ChamDiem!K41:K43),1),"")</f>
        <v/>
      </c>
      <c r="H14" s="25">
        <f>IFERROR(ROUND(AVERAGE(ChamDiem!L41:L43),1),"")</f>
        <v/>
      </c>
      <c r="I14" s="25">
        <f>IFERROR(ROUND(AVERAGE(ChamDiem!M41:M43),1),"")</f>
        <v/>
      </c>
      <c r="J14" s="25">
        <f>IFERROR(ROUND(AVERAGE(ChamDiem!N41:N43),1),"")</f>
        <v/>
      </c>
      <c r="K14" s="25">
        <f>IFERROR(ROUND(AVERAGE(ChamDiem!O41:O43),1),"")</f>
        <v/>
      </c>
      <c r="L14" s="25">
        <f>IFERROR(ROUND(AVERAGE(ChamDiem!P41:P43),1),"")</f>
        <v/>
      </c>
      <c r="M14" s="27">
        <f>IFERROR(ROUND(AVERAGE(D14:K14),1),"")</f>
        <v/>
      </c>
    </row>
    <row r="15">
      <c r="A15" s="28" t="n">
        <v>12</v>
      </c>
      <c r="B15" s="29" t="inlineStr">
        <is>
          <t>Nguyễn Khắc Trọng</t>
        </is>
      </c>
      <c r="C15" s="28">
        <f>IF(ChamDiem!D44="","",ChamDiem!D44)</f>
        <v/>
      </c>
      <c r="D15" s="28">
        <f>IFERROR(ROUND(AVERAGE(ChamDiem!H44:H46),1),"")</f>
        <v/>
      </c>
      <c r="E15" s="28">
        <f>IFERROR(ROUND(AVERAGE(ChamDiem!I44:I46),1),"")</f>
        <v/>
      </c>
      <c r="F15" s="28">
        <f>IFERROR(ROUND(AVERAGE(ChamDiem!J44:J46),1),"")</f>
        <v/>
      </c>
      <c r="G15" s="28">
        <f>IFERROR(ROUND(AVERAGE(ChamDiem!K44:K46),1),"")</f>
        <v/>
      </c>
      <c r="H15" s="28">
        <f>IFERROR(ROUND(AVERAGE(ChamDiem!L44:L46),1),"")</f>
        <v/>
      </c>
      <c r="I15" s="28">
        <f>IFERROR(ROUND(AVERAGE(ChamDiem!M44:M46),1),"")</f>
        <v/>
      </c>
      <c r="J15" s="28">
        <f>IFERROR(ROUND(AVERAGE(ChamDiem!N44:N46),1),"")</f>
        <v/>
      </c>
      <c r="K15" s="28">
        <f>IFERROR(ROUND(AVERAGE(ChamDiem!O44:O46),1),"")</f>
        <v/>
      </c>
      <c r="L15" s="28">
        <f>IFERROR(ROUND(AVERAGE(ChamDiem!P44:P46),1),"")</f>
        <v/>
      </c>
      <c r="M15" s="30">
        <f>IFERROR(ROUND(AVERAGE(D15:K15),1),"")</f>
        <v/>
      </c>
    </row>
    <row r="16">
      <c r="A16" s="25" t="n">
        <v>13</v>
      </c>
      <c r="B16" s="26" t="inlineStr">
        <is>
          <t>Nguyen Quy Bong</t>
        </is>
      </c>
      <c r="C16" s="25">
        <f>IF(ChamDiem!D47="","",ChamDiem!D47)</f>
        <v/>
      </c>
      <c r="D16" s="25">
        <f>IFERROR(ROUND(AVERAGE(ChamDiem!H47:H49),1),"")</f>
        <v/>
      </c>
      <c r="E16" s="25">
        <f>IFERROR(ROUND(AVERAGE(ChamDiem!I47:I49),1),"")</f>
        <v/>
      </c>
      <c r="F16" s="25">
        <f>IFERROR(ROUND(AVERAGE(ChamDiem!J47:J49),1),"")</f>
        <v/>
      </c>
      <c r="G16" s="25">
        <f>IFERROR(ROUND(AVERAGE(ChamDiem!K47:K49),1),"")</f>
        <v/>
      </c>
      <c r="H16" s="25">
        <f>IFERROR(ROUND(AVERAGE(ChamDiem!L47:L49),1),"")</f>
        <v/>
      </c>
      <c r="I16" s="25">
        <f>IFERROR(ROUND(AVERAGE(ChamDiem!M47:M49),1),"")</f>
        <v/>
      </c>
      <c r="J16" s="25">
        <f>IFERROR(ROUND(AVERAGE(ChamDiem!N47:N49),1),"")</f>
        <v/>
      </c>
      <c r="K16" s="25">
        <f>IFERROR(ROUND(AVERAGE(ChamDiem!O47:O49),1),"")</f>
        <v/>
      </c>
      <c r="L16" s="25">
        <f>IFERROR(ROUND(AVERAGE(ChamDiem!P47:P49),1),"")</f>
        <v/>
      </c>
      <c r="M16" s="27">
        <f>IFERROR(ROUND(AVERAGE(D16:K16),1),"")</f>
        <v/>
      </c>
    </row>
    <row r="17">
      <c r="A17" s="28" t="n">
        <v>14</v>
      </c>
      <c r="B17" s="29" t="inlineStr">
        <is>
          <t>Nguyễn Văn Quyền</t>
        </is>
      </c>
      <c r="C17" s="28">
        <f>IF(ChamDiem!D50="","",ChamDiem!D50)</f>
        <v/>
      </c>
      <c r="D17" s="28">
        <f>IFERROR(ROUND(AVERAGE(ChamDiem!H50:H52),1),"")</f>
        <v/>
      </c>
      <c r="E17" s="28">
        <f>IFERROR(ROUND(AVERAGE(ChamDiem!I50:I52),1),"")</f>
        <v/>
      </c>
      <c r="F17" s="28">
        <f>IFERROR(ROUND(AVERAGE(ChamDiem!J50:J52),1),"")</f>
        <v/>
      </c>
      <c r="G17" s="28">
        <f>IFERROR(ROUND(AVERAGE(ChamDiem!K50:K52),1),"")</f>
        <v/>
      </c>
      <c r="H17" s="28">
        <f>IFERROR(ROUND(AVERAGE(ChamDiem!L50:L52),1),"")</f>
        <v/>
      </c>
      <c r="I17" s="28">
        <f>IFERROR(ROUND(AVERAGE(ChamDiem!M50:M52),1),"")</f>
        <v/>
      </c>
      <c r="J17" s="28">
        <f>IFERROR(ROUND(AVERAGE(ChamDiem!N50:N52),1),"")</f>
        <v/>
      </c>
      <c r="K17" s="28">
        <f>IFERROR(ROUND(AVERAGE(ChamDiem!O50:O52),1),"")</f>
        <v/>
      </c>
      <c r="L17" s="28">
        <f>IFERROR(ROUND(AVERAGE(ChamDiem!P50:P52),1),"")</f>
        <v/>
      </c>
      <c r="M17" s="30">
        <f>IFERROR(ROUND(AVERAGE(D17:K17),1),"")</f>
        <v/>
      </c>
    </row>
    <row r="18">
      <c r="A18" s="25" t="n">
        <v>15</v>
      </c>
      <c r="B18" s="26" t="inlineStr">
        <is>
          <t>Quang Minh</t>
        </is>
      </c>
      <c r="C18" s="25">
        <f>IF(ChamDiem!D53="","",ChamDiem!D53)</f>
        <v/>
      </c>
      <c r="D18" s="25">
        <f>IFERROR(ROUND(AVERAGE(ChamDiem!H53:H55),1),"")</f>
        <v/>
      </c>
      <c r="E18" s="25">
        <f>IFERROR(ROUND(AVERAGE(ChamDiem!I53:I55),1),"")</f>
        <v/>
      </c>
      <c r="F18" s="25">
        <f>IFERROR(ROUND(AVERAGE(ChamDiem!J53:J55),1),"")</f>
        <v/>
      </c>
      <c r="G18" s="25">
        <f>IFERROR(ROUND(AVERAGE(ChamDiem!K53:K55),1),"")</f>
        <v/>
      </c>
      <c r="H18" s="25">
        <f>IFERROR(ROUND(AVERAGE(ChamDiem!L53:L55),1),"")</f>
        <v/>
      </c>
      <c r="I18" s="25">
        <f>IFERROR(ROUND(AVERAGE(ChamDiem!M53:M55),1),"")</f>
        <v/>
      </c>
      <c r="J18" s="25">
        <f>IFERROR(ROUND(AVERAGE(ChamDiem!N53:N55),1),"")</f>
        <v/>
      </c>
      <c r="K18" s="25">
        <f>IFERROR(ROUND(AVERAGE(ChamDiem!O53:O55),1),"")</f>
        <v/>
      </c>
      <c r="L18" s="25">
        <f>IFERROR(ROUND(AVERAGE(ChamDiem!P53:P55),1),"")</f>
        <v/>
      </c>
      <c r="M18" s="27">
        <f>IFERROR(ROUND(AVERAGE(D18:K18),1),"")</f>
        <v/>
      </c>
    </row>
    <row r="19">
      <c r="A19" s="28" t="n">
        <v>16</v>
      </c>
      <c r="B19" s="29" t="inlineStr">
        <is>
          <t>Quý Tàu</t>
        </is>
      </c>
      <c r="C19" s="28">
        <f>IF(ChamDiem!D56="","",ChamDiem!D56)</f>
        <v/>
      </c>
      <c r="D19" s="28">
        <f>IFERROR(ROUND(AVERAGE(ChamDiem!H56:H58),1),"")</f>
        <v/>
      </c>
      <c r="E19" s="28">
        <f>IFERROR(ROUND(AVERAGE(ChamDiem!I56:I58),1),"")</f>
        <v/>
      </c>
      <c r="F19" s="28">
        <f>IFERROR(ROUND(AVERAGE(ChamDiem!J56:J58),1),"")</f>
        <v/>
      </c>
      <c r="G19" s="28">
        <f>IFERROR(ROUND(AVERAGE(ChamDiem!K56:K58),1),"")</f>
        <v/>
      </c>
      <c r="H19" s="28">
        <f>IFERROR(ROUND(AVERAGE(ChamDiem!L56:L58),1),"")</f>
        <v/>
      </c>
      <c r="I19" s="28">
        <f>IFERROR(ROUND(AVERAGE(ChamDiem!M56:M58),1),"")</f>
        <v/>
      </c>
      <c r="J19" s="28">
        <f>IFERROR(ROUND(AVERAGE(ChamDiem!N56:N58),1),"")</f>
        <v/>
      </c>
      <c r="K19" s="28">
        <f>IFERROR(ROUND(AVERAGE(ChamDiem!O56:O58),1),"")</f>
        <v/>
      </c>
      <c r="L19" s="28">
        <f>IFERROR(ROUND(AVERAGE(ChamDiem!P56:P58),1),"")</f>
        <v/>
      </c>
      <c r="M19" s="30">
        <f>IFERROR(ROUND(AVERAGE(D19:K19),1),"")</f>
        <v/>
      </c>
    </row>
    <row r="20">
      <c r="A20" s="25" t="n">
        <v>17</v>
      </c>
      <c r="B20" s="26" t="inlineStr">
        <is>
          <t>Quyết Nguyễn</t>
        </is>
      </c>
      <c r="C20" s="25">
        <f>IF(ChamDiem!D59="","",ChamDiem!D59)</f>
        <v/>
      </c>
      <c r="D20" s="25">
        <f>IFERROR(ROUND(AVERAGE(ChamDiem!H59:H61),1),"")</f>
        <v/>
      </c>
      <c r="E20" s="25">
        <f>IFERROR(ROUND(AVERAGE(ChamDiem!I59:I61),1),"")</f>
        <v/>
      </c>
      <c r="F20" s="25">
        <f>IFERROR(ROUND(AVERAGE(ChamDiem!J59:J61),1),"")</f>
        <v/>
      </c>
      <c r="G20" s="25">
        <f>IFERROR(ROUND(AVERAGE(ChamDiem!K59:K61),1),"")</f>
        <v/>
      </c>
      <c r="H20" s="25">
        <f>IFERROR(ROUND(AVERAGE(ChamDiem!L59:L61),1),"")</f>
        <v/>
      </c>
      <c r="I20" s="25">
        <f>IFERROR(ROUND(AVERAGE(ChamDiem!M59:M61),1),"")</f>
        <v/>
      </c>
      <c r="J20" s="25">
        <f>IFERROR(ROUND(AVERAGE(ChamDiem!N59:N61),1),"")</f>
        <v/>
      </c>
      <c r="K20" s="25">
        <f>IFERROR(ROUND(AVERAGE(ChamDiem!O59:O61),1),"")</f>
        <v/>
      </c>
      <c r="L20" s="25">
        <f>IFERROR(ROUND(AVERAGE(ChamDiem!P59:P61),1),"")</f>
        <v/>
      </c>
      <c r="M20" s="27">
        <f>IFERROR(ROUND(AVERAGE(D20:K20),1),"")</f>
        <v/>
      </c>
    </row>
    <row r="21">
      <c r="A21" s="28" t="n">
        <v>18</v>
      </c>
      <c r="B21" s="29" t="inlineStr">
        <is>
          <t>Trịnh Mạnh</t>
        </is>
      </c>
      <c r="C21" s="28">
        <f>IF(ChamDiem!D62="","",ChamDiem!D62)</f>
        <v/>
      </c>
      <c r="D21" s="28">
        <f>IFERROR(ROUND(AVERAGE(ChamDiem!H62:H64),1),"")</f>
        <v/>
      </c>
      <c r="E21" s="28">
        <f>IFERROR(ROUND(AVERAGE(ChamDiem!I62:I64),1),"")</f>
        <v/>
      </c>
      <c r="F21" s="28">
        <f>IFERROR(ROUND(AVERAGE(ChamDiem!J62:J64),1),"")</f>
        <v/>
      </c>
      <c r="G21" s="28">
        <f>IFERROR(ROUND(AVERAGE(ChamDiem!K62:K64),1),"")</f>
        <v/>
      </c>
      <c r="H21" s="28">
        <f>IFERROR(ROUND(AVERAGE(ChamDiem!L62:L64),1),"")</f>
        <v/>
      </c>
      <c r="I21" s="28">
        <f>IFERROR(ROUND(AVERAGE(ChamDiem!M62:M64),1),"")</f>
        <v/>
      </c>
      <c r="J21" s="28">
        <f>IFERROR(ROUND(AVERAGE(ChamDiem!N62:N64),1),"")</f>
        <v/>
      </c>
      <c r="K21" s="28">
        <f>IFERROR(ROUND(AVERAGE(ChamDiem!O62:O64),1),"")</f>
        <v/>
      </c>
      <c r="L21" s="28">
        <f>IFERROR(ROUND(AVERAGE(ChamDiem!P62:P64),1),"")</f>
        <v/>
      </c>
      <c r="M21" s="30">
        <f>IFERROR(ROUND(AVERAGE(D21:K21),1),"")</f>
        <v/>
      </c>
    </row>
    <row r="22">
      <c r="A22" s="25" t="n">
        <v>19</v>
      </c>
      <c r="B22" s="26" t="inlineStr">
        <is>
          <t>Trịnh Tuấn Anh</t>
        </is>
      </c>
      <c r="C22" s="25">
        <f>IF(ChamDiem!D65="","",ChamDiem!D65)</f>
        <v/>
      </c>
      <c r="D22" s="25">
        <f>IFERROR(ROUND(AVERAGE(ChamDiem!H65:H67),1),"")</f>
        <v/>
      </c>
      <c r="E22" s="25">
        <f>IFERROR(ROUND(AVERAGE(ChamDiem!I65:I67),1),"")</f>
        <v/>
      </c>
      <c r="F22" s="25">
        <f>IFERROR(ROUND(AVERAGE(ChamDiem!J65:J67),1),"")</f>
        <v/>
      </c>
      <c r="G22" s="25">
        <f>IFERROR(ROUND(AVERAGE(ChamDiem!K65:K67),1),"")</f>
        <v/>
      </c>
      <c r="H22" s="25">
        <f>IFERROR(ROUND(AVERAGE(ChamDiem!L65:L67),1),"")</f>
        <v/>
      </c>
      <c r="I22" s="25">
        <f>IFERROR(ROUND(AVERAGE(ChamDiem!M65:M67),1),"")</f>
        <v/>
      </c>
      <c r="J22" s="25">
        <f>IFERROR(ROUND(AVERAGE(ChamDiem!N65:N67),1),"")</f>
        <v/>
      </c>
      <c r="K22" s="25">
        <f>IFERROR(ROUND(AVERAGE(ChamDiem!O65:O67),1),"")</f>
        <v/>
      </c>
      <c r="L22" s="25">
        <f>IFERROR(ROUND(AVERAGE(ChamDiem!P65:P67),1),"")</f>
        <v/>
      </c>
      <c r="M22" s="27">
        <f>IFERROR(ROUND(AVERAGE(D22:K22),1),"")</f>
        <v/>
      </c>
    </row>
    <row r="23">
      <c r="A23" s="28" t="n">
        <v>20</v>
      </c>
      <c r="B23" s="29" t="inlineStr">
        <is>
          <t>Văn Thanh</t>
        </is>
      </c>
      <c r="C23" s="28">
        <f>IF(ChamDiem!D68="","",ChamDiem!D68)</f>
        <v/>
      </c>
      <c r="D23" s="28">
        <f>IFERROR(ROUND(AVERAGE(ChamDiem!H68:H70),1),"")</f>
        <v/>
      </c>
      <c r="E23" s="28">
        <f>IFERROR(ROUND(AVERAGE(ChamDiem!I68:I70),1),"")</f>
        <v/>
      </c>
      <c r="F23" s="28">
        <f>IFERROR(ROUND(AVERAGE(ChamDiem!J68:J70),1),"")</f>
        <v/>
      </c>
      <c r="G23" s="28">
        <f>IFERROR(ROUND(AVERAGE(ChamDiem!K68:K70),1),"")</f>
        <v/>
      </c>
      <c r="H23" s="28">
        <f>IFERROR(ROUND(AVERAGE(ChamDiem!L68:L70),1),"")</f>
        <v/>
      </c>
      <c r="I23" s="28">
        <f>IFERROR(ROUND(AVERAGE(ChamDiem!M68:M70),1),"")</f>
        <v/>
      </c>
      <c r="J23" s="28">
        <f>IFERROR(ROUND(AVERAGE(ChamDiem!N68:N70),1),"")</f>
        <v/>
      </c>
      <c r="K23" s="28">
        <f>IFERROR(ROUND(AVERAGE(ChamDiem!O68:O70),1),"")</f>
        <v/>
      </c>
      <c r="L23" s="28">
        <f>IFERROR(ROUND(AVERAGE(ChamDiem!P68:P70),1),"")</f>
        <v/>
      </c>
      <c r="M23" s="30">
        <f>IFERROR(ROUND(AVERAGE(D23:K23),1),"")</f>
        <v/>
      </c>
    </row>
  </sheetData>
  <autoFilter ref="A3:M23"/>
  <mergeCells count="1">
    <mergeCell ref="A1:M1"/>
  </mergeCells>
  <conditionalFormatting sqref="D4:M23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2026-06-08T10:30:19Z</dcterms:created>
  <dcterms:modified xsi:type="dcterms:W3CDTF">2026-06-08T11:15:33Z</dcterms:modified>
</cp:coreProperties>
</file>